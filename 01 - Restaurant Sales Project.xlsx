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LEE\Downloads\"/>
    </mc:Choice>
  </mc:AlternateContent>
  <xr:revisionPtr revIDLastSave="0" documentId="13_ncr:1_{BDE233D6-22EA-417D-B18F-435CD72BDB99}" xr6:coauthVersionLast="47" xr6:coauthVersionMax="47" xr10:uidLastSave="{00000000-0000-0000-0000-000000000000}"/>
  <bookViews>
    <workbookView xWindow="-120" yWindow="-120" windowWidth="20730" windowHeight="11310" xr2:uid="{66301FCA-EA2A-4B3B-9A5C-535C597A10AA}"/>
  </bookViews>
  <sheets>
    <sheet name="Summary" sheetId="8" r:id="rId1"/>
    <sheet name="Dashboard" sheetId="7" r:id="rId2"/>
    <sheet name="Analysis_WorkingData" sheetId="5" r:id="rId3"/>
    <sheet name="Restaurant Sales-Raw_Data" sheetId="1" r:id="rId4"/>
  </sheets>
  <definedNames>
    <definedName name="_xlnm._FilterDatabase" localSheetId="3" hidden="1">'Restaurant Sales-Raw_Data'!$A$1:$J$1001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5" i="5" l="1"/>
  <c r="L6" i="5"/>
  <c r="L7" i="5"/>
  <c r="L29" i="5" s="1"/>
  <c r="L8" i="5"/>
  <c r="L9" i="5"/>
  <c r="L10" i="5"/>
  <c r="L11" i="5"/>
  <c r="L12" i="5"/>
  <c r="L13" i="5"/>
  <c r="L14" i="5"/>
  <c r="L15" i="5"/>
  <c r="L16" i="5"/>
  <c r="L17" i="5"/>
  <c r="L18" i="5"/>
  <c r="L19" i="5"/>
  <c r="L20" i="5"/>
  <c r="L21" i="5"/>
  <c r="L22" i="5"/>
  <c r="L23" i="5"/>
  <c r="L24" i="5"/>
  <c r="L25" i="5"/>
  <c r="L26" i="5"/>
  <c r="L27" i="5"/>
  <c r="L28" i="5"/>
  <c r="L4" i="5"/>
  <c r="O5" i="5"/>
  <c r="K13" i="5"/>
  <c r="P14" i="5"/>
  <c r="O14" i="5"/>
  <c r="P13" i="5"/>
  <c r="O13" i="5"/>
  <c r="P12" i="5"/>
  <c r="O12" i="5"/>
  <c r="P11" i="5"/>
  <c r="O11" i="5"/>
  <c r="P10" i="5"/>
  <c r="O10" i="5"/>
  <c r="P9" i="5"/>
  <c r="O9" i="5"/>
  <c r="P8" i="5"/>
  <c r="O8" i="5"/>
  <c r="P7" i="5"/>
  <c r="O7" i="5"/>
  <c r="P6" i="5"/>
  <c r="O6" i="5"/>
  <c r="P5" i="5"/>
  <c r="P15" i="5" s="1"/>
  <c r="K5" i="5"/>
  <c r="K6" i="5"/>
  <c r="K7" i="5"/>
  <c r="K8" i="5"/>
  <c r="K9" i="5"/>
  <c r="K10" i="5"/>
  <c r="K11" i="5"/>
  <c r="K12" i="5"/>
  <c r="K14" i="5"/>
  <c r="K15" i="5"/>
  <c r="K16" i="5"/>
  <c r="K17" i="5"/>
  <c r="K18" i="5"/>
  <c r="K19" i="5"/>
  <c r="K20" i="5"/>
  <c r="K21" i="5"/>
  <c r="K22" i="5"/>
  <c r="K23" i="5"/>
  <c r="K24" i="5"/>
  <c r="K25" i="5"/>
  <c r="K26" i="5"/>
  <c r="K27" i="5"/>
  <c r="K28" i="5"/>
  <c r="K4" i="5"/>
  <c r="J5" i="5"/>
  <c r="J6" i="5"/>
  <c r="J7" i="5"/>
  <c r="J8" i="5"/>
  <c r="J9" i="5"/>
  <c r="J10" i="5"/>
  <c r="J11" i="5"/>
  <c r="J12" i="5"/>
  <c r="J13" i="5"/>
  <c r="J14" i="5"/>
  <c r="J15" i="5"/>
  <c r="J16" i="5"/>
  <c r="J17" i="5"/>
  <c r="J18" i="5"/>
  <c r="J19" i="5"/>
  <c r="J20" i="5"/>
  <c r="J21" i="5"/>
  <c r="J22" i="5"/>
  <c r="J23" i="5"/>
  <c r="J24" i="5"/>
  <c r="J25" i="5"/>
  <c r="J26" i="5"/>
  <c r="J27" i="5"/>
  <c r="J28" i="5"/>
  <c r="J4" i="5"/>
  <c r="G5" i="5"/>
  <c r="G6" i="5"/>
  <c r="G7" i="5"/>
  <c r="G8" i="5"/>
  <c r="G9" i="5"/>
  <c r="G10" i="5"/>
  <c r="G11" i="5"/>
  <c r="G12" i="5"/>
  <c r="G13" i="5"/>
  <c r="G4" i="5"/>
  <c r="F5" i="5"/>
  <c r="F6" i="5"/>
  <c r="F7" i="5"/>
  <c r="F8" i="5"/>
  <c r="F9" i="5"/>
  <c r="F10" i="5"/>
  <c r="F11" i="5"/>
  <c r="F12" i="5"/>
  <c r="F13" i="5"/>
  <c r="F4" i="5"/>
  <c r="E13" i="5"/>
  <c r="E12" i="5"/>
  <c r="E11" i="5"/>
  <c r="E10" i="5"/>
  <c r="E9" i="5"/>
  <c r="E8" i="5"/>
  <c r="E7" i="5"/>
  <c r="E6" i="5"/>
  <c r="E5" i="5"/>
  <c r="E4" i="5"/>
  <c r="E18" i="5"/>
  <c r="F18" i="5"/>
  <c r="G18" i="5"/>
  <c r="E19" i="5"/>
  <c r="F19" i="5"/>
  <c r="G19" i="5"/>
  <c r="E20" i="5"/>
  <c r="F20" i="5"/>
  <c r="G20" i="5"/>
  <c r="E21" i="5"/>
  <c r="F21" i="5"/>
  <c r="G21" i="5"/>
  <c r="B7" i="5"/>
  <c r="N3" i="7" s="1"/>
  <c r="B6" i="5"/>
  <c r="J3" i="7" s="1"/>
  <c r="B5" i="5"/>
  <c r="F3" i="7" s="1"/>
  <c r="B4" i="5"/>
  <c r="B3" i="7"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E22" i="5" l="1"/>
  <c r="G22" i="5"/>
  <c r="F22" i="5"/>
  <c r="J29" i="5"/>
  <c r="E14" i="5"/>
  <c r="G14" i="5"/>
  <c r="F14" i="5"/>
  <c r="K29" i="5"/>
  <c r="F27" i="5"/>
  <c r="F28" i="5"/>
  <c r="F29" i="5"/>
  <c r="F30" i="5"/>
  <c r="F31" i="5"/>
  <c r="F32" i="5"/>
  <c r="F33" i="5"/>
  <c r="F34" i="5"/>
  <c r="F35" i="5"/>
  <c r="F36" i="5"/>
  <c r="F37" i="5"/>
  <c r="F26" i="5"/>
  <c r="E27" i="5"/>
  <c r="E28" i="5"/>
  <c r="E29" i="5"/>
  <c r="E30" i="5"/>
  <c r="E31" i="5"/>
  <c r="E32" i="5"/>
  <c r="E33" i="5"/>
  <c r="E34" i="5"/>
  <c r="E35" i="5"/>
  <c r="E36" i="5"/>
  <c r="E37" i="5"/>
  <c r="E26" i="5"/>
  <c r="O15" i="5"/>
  <c r="F38" i="5" l="1"/>
  <c r="E38" i="5"/>
</calcChain>
</file>

<file path=xl/sharedStrings.xml><?xml version="1.0" encoding="utf-8"?>
<sst xmlns="http://schemas.openxmlformats.org/spreadsheetml/2006/main" count="5134" uniqueCount="1107">
  <si>
    <t>Transaction ID</t>
  </si>
  <si>
    <t>Order Date</t>
  </si>
  <si>
    <t>Restaurant Location</t>
  </si>
  <si>
    <t>Order Type</t>
  </si>
  <si>
    <t>Menu Item</t>
  </si>
  <si>
    <t>Category</t>
  </si>
  <si>
    <t>Quantity</t>
  </si>
  <si>
    <t>Unit Price</t>
  </si>
  <si>
    <t>Order Total</t>
  </si>
  <si>
    <t>Customer Rating</t>
  </si>
  <si>
    <t>RST-30001</t>
  </si>
  <si>
    <t>Coral Gables</t>
  </si>
  <si>
    <t>Delivery</t>
  </si>
  <si>
    <t>Chicken Parmesan</t>
  </si>
  <si>
    <t>Main</t>
  </si>
  <si>
    <t>RST-30002</t>
  </si>
  <si>
    <t>Chicago Loop</t>
  </si>
  <si>
    <t>Takeaway</t>
  </si>
  <si>
    <t>House Wine</t>
  </si>
  <si>
    <t>Beverage</t>
  </si>
  <si>
    <t>RST-30003</t>
  </si>
  <si>
    <t>Midtown East</t>
  </si>
  <si>
    <t>Soup of the Day</t>
  </si>
  <si>
    <t>Appetizer</t>
  </si>
  <si>
    <t>RST-30004</t>
  </si>
  <si>
    <t>Lincoln Park</t>
  </si>
  <si>
    <t>Sparkling Water</t>
  </si>
  <si>
    <t>RST-30005</t>
  </si>
  <si>
    <t>Austin South Congress</t>
  </si>
  <si>
    <t>Dine-In</t>
  </si>
  <si>
    <t>Craft Beer</t>
  </si>
  <si>
    <t>RST-30006</t>
  </si>
  <si>
    <t>Downtown Manhattan</t>
  </si>
  <si>
    <t>RST-30007</t>
  </si>
  <si>
    <t>Miami Beach</t>
  </si>
  <si>
    <t>RST-30008</t>
  </si>
  <si>
    <t>Mushroom Risotto</t>
  </si>
  <si>
    <t>RST-30009</t>
  </si>
  <si>
    <t>Upper West Side</t>
  </si>
  <si>
    <t>Grilled Salmon</t>
  </si>
  <si>
    <t>RST-30010</t>
  </si>
  <si>
    <t>Caesar Salad</t>
  </si>
  <si>
    <t>RST-30011</t>
  </si>
  <si>
    <t>Bruschetta</t>
  </si>
  <si>
    <t>RST-30012</t>
  </si>
  <si>
    <t>Brooklyn Heights</t>
  </si>
  <si>
    <t>NY Strip Steak</t>
  </si>
  <si>
    <t>RST-30013</t>
  </si>
  <si>
    <t>RST-30014</t>
  </si>
  <si>
    <t>RST-30015</t>
  </si>
  <si>
    <t>BBQ Ribs</t>
  </si>
  <si>
    <t>RST-30016</t>
  </si>
  <si>
    <t>Smoothie</t>
  </si>
  <si>
    <t>RST-30017</t>
  </si>
  <si>
    <t>RST-30018</t>
  </si>
  <si>
    <t>Mozzarella Sticks</t>
  </si>
  <si>
    <t>RST-30019</t>
  </si>
  <si>
    <t>Burger Deluxe</t>
  </si>
  <si>
    <t>RST-30020</t>
  </si>
  <si>
    <t>RST-30021</t>
  </si>
  <si>
    <t>RST-30022</t>
  </si>
  <si>
    <t>RST-30023</t>
  </si>
  <si>
    <t>Spring Rolls</t>
  </si>
  <si>
    <t>RST-30024</t>
  </si>
  <si>
    <t>RST-30025</t>
  </si>
  <si>
    <t>RST-30026</t>
  </si>
  <si>
    <t>Ice Cream Sundae</t>
  </si>
  <si>
    <t>Dessert</t>
  </si>
  <si>
    <t>RST-30027</t>
  </si>
  <si>
    <t>Apple Pie</t>
  </si>
  <si>
    <t>RST-30028</t>
  </si>
  <si>
    <t>RST-30029</t>
  </si>
  <si>
    <t>RST-30030</t>
  </si>
  <si>
    <t>RST-30031</t>
  </si>
  <si>
    <t>Pasta Primavera</t>
  </si>
  <si>
    <t>RST-30032</t>
  </si>
  <si>
    <t>RST-30033</t>
  </si>
  <si>
    <t>RST-30034</t>
  </si>
  <si>
    <t>RST-30035</t>
  </si>
  <si>
    <t>Cheesecake</t>
  </si>
  <si>
    <t>RST-30036</t>
  </si>
  <si>
    <t>RST-30037</t>
  </si>
  <si>
    <t>RST-30038</t>
  </si>
  <si>
    <t>Fish &amp; Chips</t>
  </si>
  <si>
    <t>RST-30039</t>
  </si>
  <si>
    <t>RST-30040</t>
  </si>
  <si>
    <t>RST-30041</t>
  </si>
  <si>
    <t>RST-30042</t>
  </si>
  <si>
    <t>RST-30043</t>
  </si>
  <si>
    <t>RST-30044</t>
  </si>
  <si>
    <t>RST-30045</t>
  </si>
  <si>
    <t>RST-30046</t>
  </si>
  <si>
    <t>RST-30047</t>
  </si>
  <si>
    <t>RST-30048</t>
  </si>
  <si>
    <t>RST-30049</t>
  </si>
  <si>
    <t>RST-30050</t>
  </si>
  <si>
    <t>RST-30051</t>
  </si>
  <si>
    <t>Austin Downtown</t>
  </si>
  <si>
    <t>RST-30052</t>
  </si>
  <si>
    <t>RST-30053</t>
  </si>
  <si>
    <t>RST-30054</t>
  </si>
  <si>
    <t>RST-30055</t>
  </si>
  <si>
    <t>RST-30056</t>
  </si>
  <si>
    <t>RST-30057</t>
  </si>
  <si>
    <t>RST-30058</t>
  </si>
  <si>
    <t>RST-30059</t>
  </si>
  <si>
    <t>RST-30060</t>
  </si>
  <si>
    <t>RST-30061</t>
  </si>
  <si>
    <t>RST-30062</t>
  </si>
  <si>
    <t>RST-30063</t>
  </si>
  <si>
    <t>RST-30064</t>
  </si>
  <si>
    <t>RST-30065</t>
  </si>
  <si>
    <t>Iced Coffee</t>
  </si>
  <si>
    <t>RST-30066</t>
  </si>
  <si>
    <t>RST-30067</t>
  </si>
  <si>
    <t>RST-30068</t>
  </si>
  <si>
    <t>RST-30069</t>
  </si>
  <si>
    <t>RST-30070</t>
  </si>
  <si>
    <t>RST-30071</t>
  </si>
  <si>
    <t>Fresh Lemonade</t>
  </si>
  <si>
    <t>RST-30072</t>
  </si>
  <si>
    <t>RST-30073</t>
  </si>
  <si>
    <t>RST-30074</t>
  </si>
  <si>
    <t>RST-30075</t>
  </si>
  <si>
    <t>RST-30076</t>
  </si>
  <si>
    <t>RST-30077</t>
  </si>
  <si>
    <t>RST-30078</t>
  </si>
  <si>
    <t>RST-30079</t>
  </si>
  <si>
    <t>RST-30080</t>
  </si>
  <si>
    <t>RST-30081</t>
  </si>
  <si>
    <t>RST-30082</t>
  </si>
  <si>
    <t>RST-30083</t>
  </si>
  <si>
    <t>RST-30084</t>
  </si>
  <si>
    <t>RST-30085</t>
  </si>
  <si>
    <t>RST-30086</t>
  </si>
  <si>
    <t>RST-30087</t>
  </si>
  <si>
    <t>RST-30088</t>
  </si>
  <si>
    <t>RST-30089</t>
  </si>
  <si>
    <t>RST-30090</t>
  </si>
  <si>
    <t>RST-30091</t>
  </si>
  <si>
    <t>RST-30092</t>
  </si>
  <si>
    <t>RST-30093</t>
  </si>
  <si>
    <t>Buffalo Wings</t>
  </si>
  <si>
    <t>RST-30094</t>
  </si>
  <si>
    <t>RST-30095</t>
  </si>
  <si>
    <t>RST-30096</t>
  </si>
  <si>
    <t>RST-30097</t>
  </si>
  <si>
    <t>RST-30098</t>
  </si>
  <si>
    <t>RST-30099</t>
  </si>
  <si>
    <t>RST-30100</t>
  </si>
  <si>
    <t>RST-30101</t>
  </si>
  <si>
    <t>RST-30102</t>
  </si>
  <si>
    <t>RST-30103</t>
  </si>
  <si>
    <t>RST-30104</t>
  </si>
  <si>
    <t>RST-30105</t>
  </si>
  <si>
    <t>RST-30106</t>
  </si>
  <si>
    <t>RST-30107</t>
  </si>
  <si>
    <t>RST-30108</t>
  </si>
  <si>
    <t>RST-30109</t>
  </si>
  <si>
    <t>RST-30110</t>
  </si>
  <si>
    <t>RST-30111</t>
  </si>
  <si>
    <t>RST-30112</t>
  </si>
  <si>
    <t>RST-30113</t>
  </si>
  <si>
    <t>RST-30114</t>
  </si>
  <si>
    <t>RST-30115</t>
  </si>
  <si>
    <t>RST-30116</t>
  </si>
  <si>
    <t>RST-30117</t>
  </si>
  <si>
    <t>RST-30118</t>
  </si>
  <si>
    <t>RST-30119</t>
  </si>
  <si>
    <t>RST-30120</t>
  </si>
  <si>
    <t>RST-30121</t>
  </si>
  <si>
    <t>RST-30122</t>
  </si>
  <si>
    <t>RST-30123</t>
  </si>
  <si>
    <t>RST-30124</t>
  </si>
  <si>
    <t>RST-30125</t>
  </si>
  <si>
    <t>RST-30126</t>
  </si>
  <si>
    <t>Chocolate Lava Cake</t>
  </si>
  <si>
    <t>RST-30127</t>
  </si>
  <si>
    <t>RST-30128</t>
  </si>
  <si>
    <t>RST-30129</t>
  </si>
  <si>
    <t>RST-30130</t>
  </si>
  <si>
    <t>RST-30131</t>
  </si>
  <si>
    <t>RST-30132</t>
  </si>
  <si>
    <t>RST-30133</t>
  </si>
  <si>
    <t>RST-30134</t>
  </si>
  <si>
    <t>RST-30135</t>
  </si>
  <si>
    <t>RST-30136</t>
  </si>
  <si>
    <t>RST-30137</t>
  </si>
  <si>
    <t>RST-30138</t>
  </si>
  <si>
    <t>RST-30139</t>
  </si>
  <si>
    <t>RST-30140</t>
  </si>
  <si>
    <t>RST-30141</t>
  </si>
  <si>
    <t>RST-30142</t>
  </si>
  <si>
    <t>RST-30143</t>
  </si>
  <si>
    <t>RST-30144</t>
  </si>
  <si>
    <t>RST-30145</t>
  </si>
  <si>
    <t>RST-30146</t>
  </si>
  <si>
    <t>RST-30147</t>
  </si>
  <si>
    <t>RST-30148</t>
  </si>
  <si>
    <t>RST-30149</t>
  </si>
  <si>
    <t>RST-30150</t>
  </si>
  <si>
    <t>RST-30151</t>
  </si>
  <si>
    <t>RST-30152</t>
  </si>
  <si>
    <t>RST-30153</t>
  </si>
  <si>
    <t>RST-30154</t>
  </si>
  <si>
    <t>RST-30155</t>
  </si>
  <si>
    <t>RST-30156</t>
  </si>
  <si>
    <t>RST-30157</t>
  </si>
  <si>
    <t>RST-30158</t>
  </si>
  <si>
    <t>RST-30159</t>
  </si>
  <si>
    <t>RST-30160</t>
  </si>
  <si>
    <t>RST-30161</t>
  </si>
  <si>
    <t>RST-30162</t>
  </si>
  <si>
    <t>RST-30163</t>
  </si>
  <si>
    <t>RST-30164</t>
  </si>
  <si>
    <t>RST-30165</t>
  </si>
  <si>
    <t>RST-30166</t>
  </si>
  <si>
    <t>RST-30167</t>
  </si>
  <si>
    <t>RST-30168</t>
  </si>
  <si>
    <t>RST-30169</t>
  </si>
  <si>
    <t>RST-30170</t>
  </si>
  <si>
    <t>Tiramisu</t>
  </si>
  <si>
    <t>RST-30171</t>
  </si>
  <si>
    <t>RST-30172</t>
  </si>
  <si>
    <t>RST-30173</t>
  </si>
  <si>
    <t>RST-30174</t>
  </si>
  <si>
    <t>RST-30175</t>
  </si>
  <si>
    <t>RST-30176</t>
  </si>
  <si>
    <t>RST-30177</t>
  </si>
  <si>
    <t>RST-30178</t>
  </si>
  <si>
    <t>RST-30179</t>
  </si>
  <si>
    <t>RST-30180</t>
  </si>
  <si>
    <t>RST-30181</t>
  </si>
  <si>
    <t>RST-30182</t>
  </si>
  <si>
    <t>RST-30183</t>
  </si>
  <si>
    <t>RST-30184</t>
  </si>
  <si>
    <t>RST-30185</t>
  </si>
  <si>
    <t>RST-30186</t>
  </si>
  <si>
    <t>RST-30187</t>
  </si>
  <si>
    <t>RST-30188</t>
  </si>
  <si>
    <t>RST-30189</t>
  </si>
  <si>
    <t>RST-30190</t>
  </si>
  <si>
    <t>RST-30191</t>
  </si>
  <si>
    <t>RST-30192</t>
  </si>
  <si>
    <t>RST-30193</t>
  </si>
  <si>
    <t>RST-30194</t>
  </si>
  <si>
    <t>RST-30195</t>
  </si>
  <si>
    <t>RST-30196</t>
  </si>
  <si>
    <t>RST-30197</t>
  </si>
  <si>
    <t>RST-30198</t>
  </si>
  <si>
    <t>RST-30199</t>
  </si>
  <si>
    <t>RST-30200</t>
  </si>
  <si>
    <t>RST-30201</t>
  </si>
  <si>
    <t>RST-30202</t>
  </si>
  <si>
    <t>RST-30203</t>
  </si>
  <si>
    <t>RST-30204</t>
  </si>
  <si>
    <t>RST-30205</t>
  </si>
  <si>
    <t>RST-30206</t>
  </si>
  <si>
    <t>RST-30207</t>
  </si>
  <si>
    <t>RST-30208</t>
  </si>
  <si>
    <t>RST-30209</t>
  </si>
  <si>
    <t>RST-30210</t>
  </si>
  <si>
    <t>RST-30211</t>
  </si>
  <si>
    <t>RST-30212</t>
  </si>
  <si>
    <t>RST-30213</t>
  </si>
  <si>
    <t>RST-30214</t>
  </si>
  <si>
    <t>RST-30215</t>
  </si>
  <si>
    <t>RST-30216</t>
  </si>
  <si>
    <t>RST-30217</t>
  </si>
  <si>
    <t>RST-30218</t>
  </si>
  <si>
    <t>RST-30219</t>
  </si>
  <si>
    <t>RST-30220</t>
  </si>
  <si>
    <t>RST-30221</t>
  </si>
  <si>
    <t>RST-30222</t>
  </si>
  <si>
    <t>RST-30223</t>
  </si>
  <si>
    <t>RST-30224</t>
  </si>
  <si>
    <t>RST-30225</t>
  </si>
  <si>
    <t>RST-30226</t>
  </si>
  <si>
    <t>RST-30227</t>
  </si>
  <si>
    <t>RST-30228</t>
  </si>
  <si>
    <t>RST-30229</t>
  </si>
  <si>
    <t>RST-30230</t>
  </si>
  <si>
    <t>RST-30231</t>
  </si>
  <si>
    <t>RST-30232</t>
  </si>
  <si>
    <t>RST-30233</t>
  </si>
  <si>
    <t>RST-30234</t>
  </si>
  <si>
    <t>RST-30235</t>
  </si>
  <si>
    <t>RST-30236</t>
  </si>
  <si>
    <t>RST-30237</t>
  </si>
  <si>
    <t>RST-30238</t>
  </si>
  <si>
    <t>RST-30239</t>
  </si>
  <si>
    <t>RST-30240</t>
  </si>
  <si>
    <t>RST-30241</t>
  </si>
  <si>
    <t>RST-30242</t>
  </si>
  <si>
    <t>RST-30243</t>
  </si>
  <si>
    <t>RST-30244</t>
  </si>
  <si>
    <t>RST-30245</t>
  </si>
  <si>
    <t>RST-30246</t>
  </si>
  <si>
    <t>RST-30247</t>
  </si>
  <si>
    <t>RST-30248</t>
  </si>
  <si>
    <t>RST-30249</t>
  </si>
  <si>
    <t>RST-30250</t>
  </si>
  <si>
    <t>RST-30251</t>
  </si>
  <si>
    <t>RST-30252</t>
  </si>
  <si>
    <t>RST-30253</t>
  </si>
  <si>
    <t>RST-30254</t>
  </si>
  <si>
    <t>RST-30255</t>
  </si>
  <si>
    <t>RST-30256</t>
  </si>
  <si>
    <t>RST-30257</t>
  </si>
  <si>
    <t>RST-30258</t>
  </si>
  <si>
    <t>RST-30259</t>
  </si>
  <si>
    <t>RST-30260</t>
  </si>
  <si>
    <t>RST-30261</t>
  </si>
  <si>
    <t>RST-30262</t>
  </si>
  <si>
    <t>RST-30263</t>
  </si>
  <si>
    <t>RST-30264</t>
  </si>
  <si>
    <t>RST-30265</t>
  </si>
  <si>
    <t>RST-30266</t>
  </si>
  <si>
    <t>RST-30267</t>
  </si>
  <si>
    <t>RST-30268</t>
  </si>
  <si>
    <t>RST-30269</t>
  </si>
  <si>
    <t>RST-30270</t>
  </si>
  <si>
    <t>RST-30271</t>
  </si>
  <si>
    <t>RST-30272</t>
  </si>
  <si>
    <t>RST-30273</t>
  </si>
  <si>
    <t>RST-30274</t>
  </si>
  <si>
    <t>RST-30275</t>
  </si>
  <si>
    <t>RST-30276</t>
  </si>
  <si>
    <t>RST-30277</t>
  </si>
  <si>
    <t>RST-30278</t>
  </si>
  <si>
    <t>RST-30279</t>
  </si>
  <si>
    <t>RST-30280</t>
  </si>
  <si>
    <t>RST-30281</t>
  </si>
  <si>
    <t>RST-30282</t>
  </si>
  <si>
    <t>RST-30283</t>
  </si>
  <si>
    <t>RST-30284</t>
  </si>
  <si>
    <t>RST-30285</t>
  </si>
  <si>
    <t>RST-30286</t>
  </si>
  <si>
    <t>RST-30287</t>
  </si>
  <si>
    <t>RST-30288</t>
  </si>
  <si>
    <t>RST-30289</t>
  </si>
  <si>
    <t>RST-30290</t>
  </si>
  <si>
    <t>RST-30291</t>
  </si>
  <si>
    <t>RST-30292</t>
  </si>
  <si>
    <t>RST-30293</t>
  </si>
  <si>
    <t>RST-30294</t>
  </si>
  <si>
    <t>RST-30295</t>
  </si>
  <si>
    <t>RST-30296</t>
  </si>
  <si>
    <t>RST-30297</t>
  </si>
  <si>
    <t>RST-30298</t>
  </si>
  <si>
    <t>RST-30299</t>
  </si>
  <si>
    <t>RST-30300</t>
  </si>
  <si>
    <t>RST-30301</t>
  </si>
  <si>
    <t>RST-30302</t>
  </si>
  <si>
    <t>RST-30303</t>
  </si>
  <si>
    <t>RST-30304</t>
  </si>
  <si>
    <t>RST-30305</t>
  </si>
  <si>
    <t>RST-30306</t>
  </si>
  <si>
    <t>RST-30307</t>
  </si>
  <si>
    <t>RST-30308</t>
  </si>
  <si>
    <t>RST-30309</t>
  </si>
  <si>
    <t>RST-30310</t>
  </si>
  <si>
    <t>RST-30311</t>
  </si>
  <si>
    <t>RST-30312</t>
  </si>
  <si>
    <t>RST-30313</t>
  </si>
  <si>
    <t>RST-30314</t>
  </si>
  <si>
    <t>RST-30315</t>
  </si>
  <si>
    <t>RST-30316</t>
  </si>
  <si>
    <t>RST-30317</t>
  </si>
  <si>
    <t>RST-30318</t>
  </si>
  <si>
    <t>RST-30319</t>
  </si>
  <si>
    <t>RST-30320</t>
  </si>
  <si>
    <t>RST-30321</t>
  </si>
  <si>
    <t>RST-30322</t>
  </si>
  <si>
    <t>RST-30323</t>
  </si>
  <si>
    <t>RST-30324</t>
  </si>
  <si>
    <t>RST-30325</t>
  </si>
  <si>
    <t>RST-30326</t>
  </si>
  <si>
    <t>RST-30327</t>
  </si>
  <si>
    <t>RST-30328</t>
  </si>
  <si>
    <t>RST-30329</t>
  </si>
  <si>
    <t>RST-30330</t>
  </si>
  <si>
    <t>RST-30331</t>
  </si>
  <si>
    <t>RST-30332</t>
  </si>
  <si>
    <t>RST-30333</t>
  </si>
  <si>
    <t>RST-30334</t>
  </si>
  <si>
    <t>RST-30335</t>
  </si>
  <si>
    <t>RST-30336</t>
  </si>
  <si>
    <t>RST-30337</t>
  </si>
  <si>
    <t>RST-30338</t>
  </si>
  <si>
    <t>RST-30339</t>
  </si>
  <si>
    <t>RST-30340</t>
  </si>
  <si>
    <t>RST-30341</t>
  </si>
  <si>
    <t>RST-30342</t>
  </si>
  <si>
    <t>RST-30343</t>
  </si>
  <si>
    <t>RST-30344</t>
  </si>
  <si>
    <t>RST-30345</t>
  </si>
  <si>
    <t>RST-30346</t>
  </si>
  <si>
    <t>RST-30347</t>
  </si>
  <si>
    <t>RST-30348</t>
  </si>
  <si>
    <t>RST-30349</t>
  </si>
  <si>
    <t>RST-30350</t>
  </si>
  <si>
    <t>RST-30351</t>
  </si>
  <si>
    <t>RST-30352</t>
  </si>
  <si>
    <t>RST-30353</t>
  </si>
  <si>
    <t>RST-30354</t>
  </si>
  <si>
    <t>RST-30355</t>
  </si>
  <si>
    <t>RST-30356</t>
  </si>
  <si>
    <t>RST-30357</t>
  </si>
  <si>
    <t>RST-30358</t>
  </si>
  <si>
    <t>RST-30359</t>
  </si>
  <si>
    <t>RST-30360</t>
  </si>
  <si>
    <t>RST-30361</t>
  </si>
  <si>
    <t>RST-30362</t>
  </si>
  <si>
    <t>RST-30363</t>
  </si>
  <si>
    <t>RST-30364</t>
  </si>
  <si>
    <t>RST-30365</t>
  </si>
  <si>
    <t>RST-30366</t>
  </si>
  <si>
    <t>RST-30367</t>
  </si>
  <si>
    <t>RST-30368</t>
  </si>
  <si>
    <t>RST-30369</t>
  </si>
  <si>
    <t>RST-30370</t>
  </si>
  <si>
    <t>RST-30371</t>
  </si>
  <si>
    <t>RST-30372</t>
  </si>
  <si>
    <t>RST-30373</t>
  </si>
  <si>
    <t>RST-30374</t>
  </si>
  <si>
    <t>RST-30375</t>
  </si>
  <si>
    <t>RST-30376</t>
  </si>
  <si>
    <t>RST-30377</t>
  </si>
  <si>
    <t>RST-30378</t>
  </si>
  <si>
    <t>RST-30379</t>
  </si>
  <si>
    <t>RST-30380</t>
  </si>
  <si>
    <t>RST-30381</t>
  </si>
  <si>
    <t>RST-30382</t>
  </si>
  <si>
    <t>RST-30383</t>
  </si>
  <si>
    <t>RST-30384</t>
  </si>
  <si>
    <t>RST-30385</t>
  </si>
  <si>
    <t>RST-30386</t>
  </si>
  <si>
    <t>RST-30387</t>
  </si>
  <si>
    <t>RST-30388</t>
  </si>
  <si>
    <t>RST-30389</t>
  </si>
  <si>
    <t>RST-30390</t>
  </si>
  <si>
    <t>RST-30391</t>
  </si>
  <si>
    <t>RST-30392</t>
  </si>
  <si>
    <t>RST-30393</t>
  </si>
  <si>
    <t>RST-30394</t>
  </si>
  <si>
    <t>RST-30395</t>
  </si>
  <si>
    <t>RST-30396</t>
  </si>
  <si>
    <t>RST-30397</t>
  </si>
  <si>
    <t>RST-30398</t>
  </si>
  <si>
    <t>RST-30399</t>
  </si>
  <si>
    <t>RST-30400</t>
  </si>
  <si>
    <t>RST-30401</t>
  </si>
  <si>
    <t>RST-30402</t>
  </si>
  <si>
    <t>RST-30403</t>
  </si>
  <si>
    <t>RST-30404</t>
  </si>
  <si>
    <t>RST-30405</t>
  </si>
  <si>
    <t>RST-30406</t>
  </si>
  <si>
    <t>RST-30407</t>
  </si>
  <si>
    <t>RST-30408</t>
  </si>
  <si>
    <t>RST-30409</t>
  </si>
  <si>
    <t>RST-30410</t>
  </si>
  <si>
    <t>RST-30411</t>
  </si>
  <si>
    <t>RST-30412</t>
  </si>
  <si>
    <t>RST-30413</t>
  </si>
  <si>
    <t>RST-30414</t>
  </si>
  <si>
    <t>RST-30415</t>
  </si>
  <si>
    <t>RST-30416</t>
  </si>
  <si>
    <t>RST-30417</t>
  </si>
  <si>
    <t>RST-30418</t>
  </si>
  <si>
    <t>RST-30419</t>
  </si>
  <si>
    <t>RST-30420</t>
  </si>
  <si>
    <t>RST-30421</t>
  </si>
  <si>
    <t>RST-30422</t>
  </si>
  <si>
    <t>RST-30423</t>
  </si>
  <si>
    <t>RST-30424</t>
  </si>
  <si>
    <t>RST-30425</t>
  </si>
  <si>
    <t>RST-30426</t>
  </si>
  <si>
    <t>RST-30427</t>
  </si>
  <si>
    <t>RST-30428</t>
  </si>
  <si>
    <t>RST-30429</t>
  </si>
  <si>
    <t>RST-30430</t>
  </si>
  <si>
    <t>RST-30431</t>
  </si>
  <si>
    <t>RST-30432</t>
  </si>
  <si>
    <t>RST-30433</t>
  </si>
  <si>
    <t>RST-30434</t>
  </si>
  <si>
    <t>RST-30435</t>
  </si>
  <si>
    <t>RST-30436</t>
  </si>
  <si>
    <t>RST-30437</t>
  </si>
  <si>
    <t>RST-30438</t>
  </si>
  <si>
    <t>RST-30439</t>
  </si>
  <si>
    <t>RST-30440</t>
  </si>
  <si>
    <t>RST-30441</t>
  </si>
  <si>
    <t>RST-30442</t>
  </si>
  <si>
    <t>RST-30443</t>
  </si>
  <si>
    <t>RST-30444</t>
  </si>
  <si>
    <t>RST-30445</t>
  </si>
  <si>
    <t>RST-30446</t>
  </si>
  <si>
    <t>RST-30447</t>
  </si>
  <si>
    <t>RST-30448</t>
  </si>
  <si>
    <t>RST-30449</t>
  </si>
  <si>
    <t>RST-30450</t>
  </si>
  <si>
    <t>RST-30451</t>
  </si>
  <si>
    <t>RST-30452</t>
  </si>
  <si>
    <t>RST-30453</t>
  </si>
  <si>
    <t>RST-30454</t>
  </si>
  <si>
    <t>RST-30455</t>
  </si>
  <si>
    <t>RST-30456</t>
  </si>
  <si>
    <t>RST-30457</t>
  </si>
  <si>
    <t>RST-30458</t>
  </si>
  <si>
    <t>RST-30459</t>
  </si>
  <si>
    <t>RST-30460</t>
  </si>
  <si>
    <t>RST-30461</t>
  </si>
  <si>
    <t>RST-30462</t>
  </si>
  <si>
    <t>RST-30463</t>
  </si>
  <si>
    <t>RST-30464</t>
  </si>
  <si>
    <t>RST-30465</t>
  </si>
  <si>
    <t>RST-30466</t>
  </si>
  <si>
    <t>RST-30467</t>
  </si>
  <si>
    <t>RST-30468</t>
  </si>
  <si>
    <t>RST-30469</t>
  </si>
  <si>
    <t>RST-30470</t>
  </si>
  <si>
    <t>RST-30471</t>
  </si>
  <si>
    <t>RST-30472</t>
  </si>
  <si>
    <t>RST-30473</t>
  </si>
  <si>
    <t>RST-30474</t>
  </si>
  <si>
    <t>RST-30475</t>
  </si>
  <si>
    <t>RST-30476</t>
  </si>
  <si>
    <t>RST-30477</t>
  </si>
  <si>
    <t>RST-30478</t>
  </si>
  <si>
    <t>RST-30479</t>
  </si>
  <si>
    <t>RST-30480</t>
  </si>
  <si>
    <t>RST-30481</t>
  </si>
  <si>
    <t>RST-30482</t>
  </si>
  <si>
    <t>RST-30483</t>
  </si>
  <si>
    <t>RST-30484</t>
  </si>
  <si>
    <t>RST-30485</t>
  </si>
  <si>
    <t>RST-30486</t>
  </si>
  <si>
    <t>RST-30487</t>
  </si>
  <si>
    <t>RST-30488</t>
  </si>
  <si>
    <t>RST-30489</t>
  </si>
  <si>
    <t>RST-30490</t>
  </si>
  <si>
    <t>RST-30491</t>
  </si>
  <si>
    <t>RST-30492</t>
  </si>
  <si>
    <t>RST-30493</t>
  </si>
  <si>
    <t>RST-30494</t>
  </si>
  <si>
    <t>RST-30495</t>
  </si>
  <si>
    <t>RST-30496</t>
  </si>
  <si>
    <t>RST-30497</t>
  </si>
  <si>
    <t>RST-30498</t>
  </si>
  <si>
    <t>RST-30499</t>
  </si>
  <si>
    <t>RST-30500</t>
  </si>
  <si>
    <t>RST-30501</t>
  </si>
  <si>
    <t>RST-30502</t>
  </si>
  <si>
    <t>RST-30503</t>
  </si>
  <si>
    <t>RST-30504</t>
  </si>
  <si>
    <t>RST-30505</t>
  </si>
  <si>
    <t>RST-30506</t>
  </si>
  <si>
    <t>RST-30507</t>
  </si>
  <si>
    <t>RST-30508</t>
  </si>
  <si>
    <t>RST-30509</t>
  </si>
  <si>
    <t>RST-30510</t>
  </si>
  <si>
    <t>RST-30511</t>
  </si>
  <si>
    <t>RST-30512</t>
  </si>
  <si>
    <t>RST-30513</t>
  </si>
  <si>
    <t>RST-30514</t>
  </si>
  <si>
    <t>RST-30515</t>
  </si>
  <si>
    <t>RST-30516</t>
  </si>
  <si>
    <t>RST-30517</t>
  </si>
  <si>
    <t>RST-30518</t>
  </si>
  <si>
    <t>RST-30519</t>
  </si>
  <si>
    <t>RST-30520</t>
  </si>
  <si>
    <t>RST-30521</t>
  </si>
  <si>
    <t>RST-30522</t>
  </si>
  <si>
    <t>RST-30523</t>
  </si>
  <si>
    <t>RST-30524</t>
  </si>
  <si>
    <t>RST-30525</t>
  </si>
  <si>
    <t>RST-30526</t>
  </si>
  <si>
    <t>RST-30527</t>
  </si>
  <si>
    <t>RST-30528</t>
  </si>
  <si>
    <t>RST-30529</t>
  </si>
  <si>
    <t>RST-30530</t>
  </si>
  <si>
    <t>RST-30531</t>
  </si>
  <si>
    <t>RST-30532</t>
  </si>
  <si>
    <t>RST-30533</t>
  </si>
  <si>
    <t>RST-30534</t>
  </si>
  <si>
    <t>RST-30535</t>
  </si>
  <si>
    <t>RST-30536</t>
  </si>
  <si>
    <t>RST-30537</t>
  </si>
  <si>
    <t>RST-30538</t>
  </si>
  <si>
    <t>RST-30539</t>
  </si>
  <si>
    <t>RST-30540</t>
  </si>
  <si>
    <t>RST-30541</t>
  </si>
  <si>
    <t>RST-30542</t>
  </si>
  <si>
    <t>RST-30543</t>
  </si>
  <si>
    <t>RST-30544</t>
  </si>
  <si>
    <t>RST-30545</t>
  </si>
  <si>
    <t>RST-30546</t>
  </si>
  <si>
    <t>RST-30547</t>
  </si>
  <si>
    <t>RST-30548</t>
  </si>
  <si>
    <t>RST-30549</t>
  </si>
  <si>
    <t>RST-30550</t>
  </si>
  <si>
    <t>RST-30551</t>
  </si>
  <si>
    <t>RST-30552</t>
  </si>
  <si>
    <t>RST-30553</t>
  </si>
  <si>
    <t>RST-30554</t>
  </si>
  <si>
    <t>RST-30555</t>
  </si>
  <si>
    <t>RST-30556</t>
  </si>
  <si>
    <t>RST-30557</t>
  </si>
  <si>
    <t>RST-30558</t>
  </si>
  <si>
    <t>RST-30559</t>
  </si>
  <si>
    <t>RST-30560</t>
  </si>
  <si>
    <t>RST-30561</t>
  </si>
  <si>
    <t>RST-30562</t>
  </si>
  <si>
    <t>RST-30563</t>
  </si>
  <si>
    <t>RST-30564</t>
  </si>
  <si>
    <t>RST-30565</t>
  </si>
  <si>
    <t>RST-30566</t>
  </si>
  <si>
    <t>RST-30567</t>
  </si>
  <si>
    <t>RST-30568</t>
  </si>
  <si>
    <t>RST-30569</t>
  </si>
  <si>
    <t>RST-30570</t>
  </si>
  <si>
    <t>RST-30571</t>
  </si>
  <si>
    <t>RST-30572</t>
  </si>
  <si>
    <t>RST-30573</t>
  </si>
  <si>
    <t>RST-30574</t>
  </si>
  <si>
    <t>RST-30575</t>
  </si>
  <si>
    <t>RST-30576</t>
  </si>
  <si>
    <t>RST-30577</t>
  </si>
  <si>
    <t>RST-30578</t>
  </si>
  <si>
    <t>RST-30579</t>
  </si>
  <si>
    <t>RST-30580</t>
  </si>
  <si>
    <t>RST-30581</t>
  </si>
  <si>
    <t>RST-30582</t>
  </si>
  <si>
    <t>RST-30583</t>
  </si>
  <si>
    <t>RST-30584</t>
  </si>
  <si>
    <t>RST-30585</t>
  </si>
  <si>
    <t>RST-30586</t>
  </si>
  <si>
    <t>RST-30587</t>
  </si>
  <si>
    <t>RST-30588</t>
  </si>
  <si>
    <t>RST-30589</t>
  </si>
  <si>
    <t>RST-30590</t>
  </si>
  <si>
    <t>RST-30591</t>
  </si>
  <si>
    <t>RST-30592</t>
  </si>
  <si>
    <t>RST-30593</t>
  </si>
  <si>
    <t>RST-30594</t>
  </si>
  <si>
    <t>RST-30595</t>
  </si>
  <si>
    <t>RST-30596</t>
  </si>
  <si>
    <t>RST-30597</t>
  </si>
  <si>
    <t>RST-30598</t>
  </si>
  <si>
    <t>RST-30599</t>
  </si>
  <si>
    <t>RST-30600</t>
  </si>
  <si>
    <t>RST-30601</t>
  </si>
  <si>
    <t>RST-30602</t>
  </si>
  <si>
    <t>RST-30603</t>
  </si>
  <si>
    <t>RST-30604</t>
  </si>
  <si>
    <t>RST-30605</t>
  </si>
  <si>
    <t>RST-30606</t>
  </si>
  <si>
    <t>RST-30607</t>
  </si>
  <si>
    <t>RST-30608</t>
  </si>
  <si>
    <t>RST-30609</t>
  </si>
  <si>
    <t>RST-30610</t>
  </si>
  <si>
    <t>RST-30611</t>
  </si>
  <si>
    <t>RST-30612</t>
  </si>
  <si>
    <t>RST-30613</t>
  </si>
  <si>
    <t>RST-30614</t>
  </si>
  <si>
    <t>RST-30615</t>
  </si>
  <si>
    <t>RST-30616</t>
  </si>
  <si>
    <t>RST-30617</t>
  </si>
  <si>
    <t>RST-30618</t>
  </si>
  <si>
    <t>RST-30619</t>
  </si>
  <si>
    <t>RST-30620</t>
  </si>
  <si>
    <t>RST-30621</t>
  </si>
  <si>
    <t>RST-30622</t>
  </si>
  <si>
    <t>RST-30623</t>
  </si>
  <si>
    <t>RST-30624</t>
  </si>
  <si>
    <t>RST-30625</t>
  </si>
  <si>
    <t>RST-30626</t>
  </si>
  <si>
    <t>RST-30627</t>
  </si>
  <si>
    <t>RST-30628</t>
  </si>
  <si>
    <t>RST-30629</t>
  </si>
  <si>
    <t>RST-30630</t>
  </si>
  <si>
    <t>RST-30631</t>
  </si>
  <si>
    <t>RST-30632</t>
  </si>
  <si>
    <t>RST-30633</t>
  </si>
  <si>
    <t>RST-30634</t>
  </si>
  <si>
    <t>RST-30635</t>
  </si>
  <si>
    <t>RST-30636</t>
  </si>
  <si>
    <t>RST-30637</t>
  </si>
  <si>
    <t>RST-30638</t>
  </si>
  <si>
    <t>RST-30639</t>
  </si>
  <si>
    <t>RST-30640</t>
  </si>
  <si>
    <t>RST-30641</t>
  </si>
  <si>
    <t>RST-30642</t>
  </si>
  <si>
    <t>RST-30643</t>
  </si>
  <si>
    <t>RST-30644</t>
  </si>
  <si>
    <t>RST-30645</t>
  </si>
  <si>
    <t>RST-30646</t>
  </si>
  <si>
    <t>RST-30647</t>
  </si>
  <si>
    <t>RST-30648</t>
  </si>
  <si>
    <t>RST-30649</t>
  </si>
  <si>
    <t>RST-30650</t>
  </si>
  <si>
    <t>RST-30651</t>
  </si>
  <si>
    <t>RST-30652</t>
  </si>
  <si>
    <t>RST-30653</t>
  </si>
  <si>
    <t>RST-30654</t>
  </si>
  <si>
    <t>RST-30655</t>
  </si>
  <si>
    <t>RST-30656</t>
  </si>
  <si>
    <t>RST-30657</t>
  </si>
  <si>
    <t>RST-30658</t>
  </si>
  <si>
    <t>RST-30659</t>
  </si>
  <si>
    <t>RST-30660</t>
  </si>
  <si>
    <t>RST-30661</t>
  </si>
  <si>
    <t>RST-30662</t>
  </si>
  <si>
    <t>RST-30663</t>
  </si>
  <si>
    <t>RST-30664</t>
  </si>
  <si>
    <t>RST-30665</t>
  </si>
  <si>
    <t>RST-30666</t>
  </si>
  <si>
    <t>RST-30667</t>
  </si>
  <si>
    <t>RST-30668</t>
  </si>
  <si>
    <t>RST-30669</t>
  </si>
  <si>
    <t>RST-30670</t>
  </si>
  <si>
    <t>RST-30671</t>
  </si>
  <si>
    <t>RST-30672</t>
  </si>
  <si>
    <t>RST-30673</t>
  </si>
  <si>
    <t>RST-30674</t>
  </si>
  <si>
    <t>RST-30675</t>
  </si>
  <si>
    <t>RST-30676</t>
  </si>
  <si>
    <t>RST-30677</t>
  </si>
  <si>
    <t>RST-30678</t>
  </si>
  <si>
    <t>RST-30679</t>
  </si>
  <si>
    <t>RST-30680</t>
  </si>
  <si>
    <t>RST-30681</t>
  </si>
  <si>
    <t>RST-30682</t>
  </si>
  <si>
    <t>RST-30683</t>
  </si>
  <si>
    <t>RST-30684</t>
  </si>
  <si>
    <t>RST-30685</t>
  </si>
  <si>
    <t>RST-30686</t>
  </si>
  <si>
    <t>RST-30687</t>
  </si>
  <si>
    <t>RST-30688</t>
  </si>
  <si>
    <t>RST-30689</t>
  </si>
  <si>
    <t>RST-30690</t>
  </si>
  <si>
    <t>RST-30691</t>
  </si>
  <si>
    <t>RST-30692</t>
  </si>
  <si>
    <t>RST-30693</t>
  </si>
  <si>
    <t>RST-30694</t>
  </si>
  <si>
    <t>RST-30695</t>
  </si>
  <si>
    <t>RST-30696</t>
  </si>
  <si>
    <t>RST-30697</t>
  </si>
  <si>
    <t>RST-30698</t>
  </si>
  <si>
    <t>RST-30699</t>
  </si>
  <si>
    <t>RST-30700</t>
  </si>
  <si>
    <t>RST-30701</t>
  </si>
  <si>
    <t>RST-30702</t>
  </si>
  <si>
    <t>RST-30703</t>
  </si>
  <si>
    <t>RST-30704</t>
  </si>
  <si>
    <t>RST-30705</t>
  </si>
  <si>
    <t>RST-30706</t>
  </si>
  <si>
    <t>RST-30707</t>
  </si>
  <si>
    <t>RST-30708</t>
  </si>
  <si>
    <t>RST-30709</t>
  </si>
  <si>
    <t>RST-30710</t>
  </si>
  <si>
    <t>RST-30711</t>
  </si>
  <si>
    <t>RST-30712</t>
  </si>
  <si>
    <t>RST-30713</t>
  </si>
  <si>
    <t>RST-30714</t>
  </si>
  <si>
    <t>RST-30715</t>
  </si>
  <si>
    <t>RST-30716</t>
  </si>
  <si>
    <t>RST-30717</t>
  </si>
  <si>
    <t>RST-30718</t>
  </si>
  <si>
    <t>RST-30719</t>
  </si>
  <si>
    <t>RST-30720</t>
  </si>
  <si>
    <t>RST-30721</t>
  </si>
  <si>
    <t>RST-30722</t>
  </si>
  <si>
    <t>RST-30723</t>
  </si>
  <si>
    <t>RST-30724</t>
  </si>
  <si>
    <t>RST-30725</t>
  </si>
  <si>
    <t>RST-30726</t>
  </si>
  <si>
    <t>RST-30727</t>
  </si>
  <si>
    <t>RST-30728</t>
  </si>
  <si>
    <t>RST-30729</t>
  </si>
  <si>
    <t>RST-30730</t>
  </si>
  <si>
    <t>RST-30731</t>
  </si>
  <si>
    <t>RST-30732</t>
  </si>
  <si>
    <t>RST-30733</t>
  </si>
  <si>
    <t>RST-30734</t>
  </si>
  <si>
    <t>RST-30735</t>
  </si>
  <si>
    <t>RST-30736</t>
  </si>
  <si>
    <t>RST-30737</t>
  </si>
  <si>
    <t>RST-30738</t>
  </si>
  <si>
    <t>RST-30739</t>
  </si>
  <si>
    <t>RST-30740</t>
  </si>
  <si>
    <t>RST-30741</t>
  </si>
  <si>
    <t>RST-30742</t>
  </si>
  <si>
    <t>RST-30743</t>
  </si>
  <si>
    <t>RST-30744</t>
  </si>
  <si>
    <t>RST-30745</t>
  </si>
  <si>
    <t>RST-30746</t>
  </si>
  <si>
    <t>RST-30747</t>
  </si>
  <si>
    <t>RST-30748</t>
  </si>
  <si>
    <t>RST-30749</t>
  </si>
  <si>
    <t>RST-30750</t>
  </si>
  <si>
    <t>RST-30751</t>
  </si>
  <si>
    <t>RST-30752</t>
  </si>
  <si>
    <t>RST-30753</t>
  </si>
  <si>
    <t>RST-30754</t>
  </si>
  <si>
    <t>RST-30755</t>
  </si>
  <si>
    <t>RST-30756</t>
  </si>
  <si>
    <t>RST-30757</t>
  </si>
  <si>
    <t>RST-30758</t>
  </si>
  <si>
    <t>RST-30759</t>
  </si>
  <si>
    <t>RST-30760</t>
  </si>
  <si>
    <t>RST-30761</t>
  </si>
  <si>
    <t>RST-30762</t>
  </si>
  <si>
    <t>RST-30763</t>
  </si>
  <si>
    <t>RST-30764</t>
  </si>
  <si>
    <t>RST-30765</t>
  </si>
  <si>
    <t>RST-30766</t>
  </si>
  <si>
    <t>RST-30767</t>
  </si>
  <si>
    <t>RST-30768</t>
  </si>
  <si>
    <t>RST-30769</t>
  </si>
  <si>
    <t>RST-30770</t>
  </si>
  <si>
    <t>RST-30771</t>
  </si>
  <si>
    <t>RST-30772</t>
  </si>
  <si>
    <t>RST-30773</t>
  </si>
  <si>
    <t>RST-30774</t>
  </si>
  <si>
    <t>RST-30775</t>
  </si>
  <si>
    <t>RST-30776</t>
  </si>
  <si>
    <t>RST-30777</t>
  </si>
  <si>
    <t>RST-30778</t>
  </si>
  <si>
    <t>RST-30779</t>
  </si>
  <si>
    <t>RST-30780</t>
  </si>
  <si>
    <t>RST-30781</t>
  </si>
  <si>
    <t>RST-30782</t>
  </si>
  <si>
    <t>RST-30783</t>
  </si>
  <si>
    <t>RST-30784</t>
  </si>
  <si>
    <t>RST-30785</t>
  </si>
  <si>
    <t>RST-30786</t>
  </si>
  <si>
    <t>RST-30787</t>
  </si>
  <si>
    <t>RST-30788</t>
  </si>
  <si>
    <t>RST-30789</t>
  </si>
  <si>
    <t>RST-30790</t>
  </si>
  <si>
    <t>RST-30791</t>
  </si>
  <si>
    <t>RST-30792</t>
  </si>
  <si>
    <t>RST-30793</t>
  </si>
  <si>
    <t>RST-30794</t>
  </si>
  <si>
    <t>RST-30795</t>
  </si>
  <si>
    <t>RST-30796</t>
  </si>
  <si>
    <t>RST-30797</t>
  </si>
  <si>
    <t>RST-30798</t>
  </si>
  <si>
    <t>RST-30799</t>
  </si>
  <si>
    <t>RST-30800</t>
  </si>
  <si>
    <t>RST-30801</t>
  </si>
  <si>
    <t>RST-30802</t>
  </si>
  <si>
    <t>RST-30803</t>
  </si>
  <si>
    <t>RST-30804</t>
  </si>
  <si>
    <t>RST-30805</t>
  </si>
  <si>
    <t>RST-30806</t>
  </si>
  <si>
    <t>RST-30807</t>
  </si>
  <si>
    <t>RST-30808</t>
  </si>
  <si>
    <t>RST-30809</t>
  </si>
  <si>
    <t>RST-30810</t>
  </si>
  <si>
    <t>RST-30811</t>
  </si>
  <si>
    <t>RST-30812</t>
  </si>
  <si>
    <t>RST-30813</t>
  </si>
  <si>
    <t>RST-30814</t>
  </si>
  <si>
    <t>RST-30815</t>
  </si>
  <si>
    <t>RST-30816</t>
  </si>
  <si>
    <t>RST-30817</t>
  </si>
  <si>
    <t>RST-30818</t>
  </si>
  <si>
    <t>RST-30819</t>
  </si>
  <si>
    <t>RST-30820</t>
  </si>
  <si>
    <t>RST-30821</t>
  </si>
  <si>
    <t>RST-30822</t>
  </si>
  <si>
    <t>RST-30823</t>
  </si>
  <si>
    <t>RST-30824</t>
  </si>
  <si>
    <t>RST-30825</t>
  </si>
  <si>
    <t>RST-30826</t>
  </si>
  <si>
    <t>RST-30827</t>
  </si>
  <si>
    <t>RST-30828</t>
  </si>
  <si>
    <t>RST-30829</t>
  </si>
  <si>
    <t>RST-30830</t>
  </si>
  <si>
    <t>RST-30831</t>
  </si>
  <si>
    <t>RST-30832</t>
  </si>
  <si>
    <t>RST-30833</t>
  </si>
  <si>
    <t>RST-30834</t>
  </si>
  <si>
    <t>RST-30835</t>
  </si>
  <si>
    <t>RST-30836</t>
  </si>
  <si>
    <t>RST-30837</t>
  </si>
  <si>
    <t>RST-30838</t>
  </si>
  <si>
    <t>RST-30839</t>
  </si>
  <si>
    <t>RST-30840</t>
  </si>
  <si>
    <t>RST-30841</t>
  </si>
  <si>
    <t>RST-30842</t>
  </si>
  <si>
    <t>RST-30843</t>
  </si>
  <si>
    <t>RST-30844</t>
  </si>
  <si>
    <t>RST-30845</t>
  </si>
  <si>
    <t>RST-30846</t>
  </si>
  <si>
    <t>RST-30847</t>
  </si>
  <si>
    <t>RST-30848</t>
  </si>
  <si>
    <t>RST-30849</t>
  </si>
  <si>
    <t>RST-30850</t>
  </si>
  <si>
    <t>RST-30851</t>
  </si>
  <si>
    <t>RST-30852</t>
  </si>
  <si>
    <t>RST-30853</t>
  </si>
  <si>
    <t>RST-30854</t>
  </si>
  <si>
    <t>RST-30855</t>
  </si>
  <si>
    <t>RST-30856</t>
  </si>
  <si>
    <t>RST-30857</t>
  </si>
  <si>
    <t>RST-30858</t>
  </si>
  <si>
    <t>RST-30859</t>
  </si>
  <si>
    <t>RST-30860</t>
  </si>
  <si>
    <t>RST-30861</t>
  </si>
  <si>
    <t>RST-30862</t>
  </si>
  <si>
    <t>RST-30863</t>
  </si>
  <si>
    <t>RST-30864</t>
  </si>
  <si>
    <t>RST-30865</t>
  </si>
  <si>
    <t>RST-30866</t>
  </si>
  <si>
    <t>RST-30867</t>
  </si>
  <si>
    <t>RST-30868</t>
  </si>
  <si>
    <t>RST-30869</t>
  </si>
  <si>
    <t>RST-30870</t>
  </si>
  <si>
    <t>RST-30871</t>
  </si>
  <si>
    <t>RST-30872</t>
  </si>
  <si>
    <t>RST-30873</t>
  </si>
  <si>
    <t>RST-30874</t>
  </si>
  <si>
    <t>RST-30875</t>
  </si>
  <si>
    <t>RST-30876</t>
  </si>
  <si>
    <t>RST-30877</t>
  </si>
  <si>
    <t>RST-30878</t>
  </si>
  <si>
    <t>RST-30879</t>
  </si>
  <si>
    <t>RST-30880</t>
  </si>
  <si>
    <t>RST-30881</t>
  </si>
  <si>
    <t>RST-30882</t>
  </si>
  <si>
    <t>RST-30883</t>
  </si>
  <si>
    <t>RST-30884</t>
  </si>
  <si>
    <t>RST-30885</t>
  </si>
  <si>
    <t>RST-30886</t>
  </si>
  <si>
    <t>RST-30887</t>
  </si>
  <si>
    <t>RST-30888</t>
  </si>
  <si>
    <t>RST-30889</t>
  </si>
  <si>
    <t>RST-30890</t>
  </si>
  <si>
    <t>RST-30891</t>
  </si>
  <si>
    <t>RST-30892</t>
  </si>
  <si>
    <t>RST-30893</t>
  </si>
  <si>
    <t>RST-30894</t>
  </si>
  <si>
    <t>RST-30895</t>
  </si>
  <si>
    <t>RST-30896</t>
  </si>
  <si>
    <t>RST-30897</t>
  </si>
  <si>
    <t>RST-30898</t>
  </si>
  <si>
    <t>RST-30899</t>
  </si>
  <si>
    <t>RST-30900</t>
  </si>
  <si>
    <t>RST-30901</t>
  </si>
  <si>
    <t>RST-30902</t>
  </si>
  <si>
    <t>RST-30903</t>
  </si>
  <si>
    <t>RST-30904</t>
  </si>
  <si>
    <t>RST-30905</t>
  </si>
  <si>
    <t>RST-30906</t>
  </si>
  <si>
    <t>RST-30907</t>
  </si>
  <si>
    <t>RST-30908</t>
  </si>
  <si>
    <t>RST-30909</t>
  </si>
  <si>
    <t>RST-30910</t>
  </si>
  <si>
    <t>RST-30911</t>
  </si>
  <si>
    <t>RST-30912</t>
  </si>
  <si>
    <t>RST-30913</t>
  </si>
  <si>
    <t>RST-30914</t>
  </si>
  <si>
    <t>RST-30915</t>
  </si>
  <si>
    <t>RST-30916</t>
  </si>
  <si>
    <t>RST-30917</t>
  </si>
  <si>
    <t>RST-30918</t>
  </si>
  <si>
    <t>RST-30919</t>
  </si>
  <si>
    <t>RST-30920</t>
  </si>
  <si>
    <t>RST-30921</t>
  </si>
  <si>
    <t>RST-30922</t>
  </si>
  <si>
    <t>RST-30923</t>
  </si>
  <si>
    <t>RST-30924</t>
  </si>
  <si>
    <t>RST-30925</t>
  </si>
  <si>
    <t>RST-30926</t>
  </si>
  <si>
    <t>RST-30927</t>
  </si>
  <si>
    <t>RST-30928</t>
  </si>
  <si>
    <t>RST-30929</t>
  </si>
  <si>
    <t>RST-30930</t>
  </si>
  <si>
    <t>RST-30931</t>
  </si>
  <si>
    <t>RST-30932</t>
  </si>
  <si>
    <t>RST-30933</t>
  </si>
  <si>
    <t>RST-30934</t>
  </si>
  <si>
    <t>RST-30935</t>
  </si>
  <si>
    <t>RST-30936</t>
  </si>
  <si>
    <t>RST-30937</t>
  </si>
  <si>
    <t>RST-30938</t>
  </si>
  <si>
    <t>RST-30939</t>
  </si>
  <si>
    <t>RST-30940</t>
  </si>
  <si>
    <t>RST-30941</t>
  </si>
  <si>
    <t>RST-30942</t>
  </si>
  <si>
    <t>RST-30943</t>
  </si>
  <si>
    <t>RST-30944</t>
  </si>
  <si>
    <t>RST-30945</t>
  </si>
  <si>
    <t>RST-30946</t>
  </si>
  <si>
    <t>RST-30947</t>
  </si>
  <si>
    <t>RST-30948</t>
  </si>
  <si>
    <t>RST-30949</t>
  </si>
  <si>
    <t>RST-30950</t>
  </si>
  <si>
    <t>RST-30951</t>
  </si>
  <si>
    <t>RST-30952</t>
  </si>
  <si>
    <t>RST-30953</t>
  </si>
  <si>
    <t>RST-30954</t>
  </si>
  <si>
    <t>RST-30955</t>
  </si>
  <si>
    <t>RST-30956</t>
  </si>
  <si>
    <t>RST-30957</t>
  </si>
  <si>
    <t>RST-30958</t>
  </si>
  <si>
    <t>RST-30959</t>
  </si>
  <si>
    <t>RST-30960</t>
  </si>
  <si>
    <t>RST-30961</t>
  </si>
  <si>
    <t>RST-30962</t>
  </si>
  <si>
    <t>RST-30963</t>
  </si>
  <si>
    <t>RST-30964</t>
  </si>
  <si>
    <t>RST-30965</t>
  </si>
  <si>
    <t>RST-30966</t>
  </si>
  <si>
    <t>RST-30967</t>
  </si>
  <si>
    <t>RST-30968</t>
  </si>
  <si>
    <t>RST-30969</t>
  </si>
  <si>
    <t>RST-30970</t>
  </si>
  <si>
    <t>RST-30971</t>
  </si>
  <si>
    <t>RST-30972</t>
  </si>
  <si>
    <t>RST-30973</t>
  </si>
  <si>
    <t>RST-30974</t>
  </si>
  <si>
    <t>RST-30975</t>
  </si>
  <si>
    <t>RST-30976</t>
  </si>
  <si>
    <t>RST-30977</t>
  </si>
  <si>
    <t>RST-30978</t>
  </si>
  <si>
    <t>RST-30979</t>
  </si>
  <si>
    <t>RST-30980</t>
  </si>
  <si>
    <t>RST-30981</t>
  </si>
  <si>
    <t>RST-30982</t>
  </si>
  <si>
    <t>RST-30983</t>
  </si>
  <si>
    <t>RST-30984</t>
  </si>
  <si>
    <t>RST-30985</t>
  </si>
  <si>
    <t>RST-30986</t>
  </si>
  <si>
    <t>RST-30987</t>
  </si>
  <si>
    <t>RST-30988</t>
  </si>
  <si>
    <t>RST-30989</t>
  </si>
  <si>
    <t>RST-30990</t>
  </si>
  <si>
    <t>RST-30991</t>
  </si>
  <si>
    <t>RST-30992</t>
  </si>
  <si>
    <t>RST-30993</t>
  </si>
  <si>
    <t>RST-30994</t>
  </si>
  <si>
    <t>RST-30995</t>
  </si>
  <si>
    <t>RST-30996</t>
  </si>
  <si>
    <t>RST-30997</t>
  </si>
  <si>
    <t>RST-30998</t>
  </si>
  <si>
    <t>RST-30999</t>
  </si>
  <si>
    <t>RST-31000</t>
  </si>
  <si>
    <t>Value</t>
  </si>
  <si>
    <t>Month</t>
  </si>
  <si>
    <t>Month Number</t>
  </si>
  <si>
    <t>Day Number</t>
  </si>
  <si>
    <t>Day of the Week</t>
  </si>
  <si>
    <t>Overview Scorecard</t>
  </si>
  <si>
    <t>Metric</t>
  </si>
  <si>
    <t>Total Revenue</t>
  </si>
  <si>
    <t>Total Orders</t>
  </si>
  <si>
    <t>Grand Total</t>
  </si>
  <si>
    <t>Average of Customer Rating</t>
  </si>
  <si>
    <t>Order Count</t>
  </si>
  <si>
    <t>Item Category</t>
  </si>
  <si>
    <t>Jan</t>
  </si>
  <si>
    <t>Feb</t>
  </si>
  <si>
    <t>Mar</t>
  </si>
  <si>
    <t>Apr</t>
  </si>
  <si>
    <t>May</t>
  </si>
  <si>
    <t>Jun</t>
  </si>
  <si>
    <t>Jul</t>
  </si>
  <si>
    <t>Aug</t>
  </si>
  <si>
    <t>Sept</t>
  </si>
  <si>
    <t>Oct</t>
  </si>
  <si>
    <t>Nov</t>
  </si>
  <si>
    <t>Dec</t>
  </si>
  <si>
    <t>TOP 10 Menu Items</t>
  </si>
  <si>
    <t>Average Customer Rating</t>
  </si>
  <si>
    <t>Average Transaction Line Value</t>
  </si>
  <si>
    <t>Total</t>
  </si>
  <si>
    <t>Avg Transaction Line Value</t>
  </si>
  <si>
    <t>Units Sold</t>
  </si>
  <si>
    <t>The dataset does not contain customer-level information, so the analysis cannot identify individual customer behaviour, preferences, or repeat purchasing patterns. It also does not contain cost or profit data, so higher revenue cannot automatically be interpreted as higher profitability. Additionally, the findings are pooled across the 2024–2025 period: the monthly patterns identified show differences in combined monthly revenue but do not, by themselves, confirm that the same seasonal pattern occurred within each individual year. A year-by-year comparison would be required to confirm within-year seasonality.</t>
  </si>
  <si>
    <t>6.  Limitations</t>
  </si>
  <si>
    <t>NY Strip Steak generated $3,496.94 from 106 units (avg. $32.99/unit), while BBQ Ribs generated $2,597.87 from 113 units (avg. $22.99/unit); NY Strip Steak leads in revenue on fewer units sold, driven by price rather than popularity. The Marketing Manager should weigh this before promoting it further, since a price-led advantage responds differently to promotion than a volume-led one. Success is tracked through both units sold and revenue for both items after any campaign.</t>
  </si>
  <si>
    <t>NY Strip Steak - Marketing Manager</t>
  </si>
  <si>
    <t>The Main category accounts for approximately 66% of total revenue, creating a high concentration in one category. The Owner/Executive Manager should protect the availability and quality of Main-category products while testing targeted initiatives to grow other categories. Success is tracked by Main's percentage of total revenue and whether other categories grow without reducing overall sales.</t>
  </si>
  <si>
    <t>Main Category Concentration - Owner/Executive Manager</t>
  </si>
  <si>
    <t>February ($1,403.96) and July ($1,855.73) are the two weakest months against September ($2,575.18) and October ($2,543.27), the strongest. The Marketing Manager should prioritise a promotion in February, the larger gap, and test a secondary push in July, while using Sep/Oct as the benchmark. Success is tracked through monthly revenue and transaction-line volume in the targeted months.</t>
  </si>
  <si>
    <t>Seasonal Revenue - Marketing Manager</t>
  </si>
  <si>
    <t>Coral Gables' Dine-In channel generated $1,582.52 from 54 transaction lines while averaging a 3.6 customer rating, against a company-wide Dine-In average of 3.9. The Operations Manager should investigate the Dine-In experience through customer feedback and operational review, rather than assuming the cause. Success is tracked by whether Coral Gables' Dine-In rating moves closer to the 3.9 benchmark.</t>
  </si>
  <si>
    <t>Coral Gables - Operations Manager</t>
  </si>
  <si>
    <t>5.  Recommendations</t>
  </si>
  <si>
    <t>•  NY Strip Steak was the highest-revenue menu item, generating $3,496.94, approximately $899 more than the second-highest item, BBQ Ribs at $2,597.87, despite selling fewer units (106 vs 113), pointing to a price-driven rather than volume-driven advantage.</t>
  </si>
  <si>
    <t>•  The Main category generated $17,125.84 in revenue, accounting for approximately 66% of total revenue, indicating the business relies heavily on this single category as its primary revenue driver.</t>
  </si>
  <si>
    <t>•  Monthly revenue experienced a seasonal swing, with September generating $2,575.18 compared to February's $1,403.96; September revenue was approximately 1.8x February's, across two years of combined data.</t>
  </si>
  <si>
    <t>•  Coral Gables generated $3,093.50 in revenue from 117 transaction lines while maintaining a 3.7 average customer rating, showing strong sales performance but a potential customer satisfaction concern compared to higher-rated locations.</t>
  </si>
  <si>
    <t>4.  Key Findings</t>
  </si>
  <si>
    <t>The data was checked for Transaction ID uniqueness, calculation accuracy (Order Total verified against Quantity x Unit Price using ROUND-based comparisons across all 1,000 rows), blank or missing values, and categorical consistency (Restaurant Location, Order Type, and Category were reviewed for inconsistent spelling or formatting). The checks found 0 duplicate Transaction IDs, 0 calculation mismatches, and 0 blank values, confirming the dataset passed all quality checks performed.</t>
  </si>
  <si>
    <t>3.  Data Quality Process</t>
  </si>
  <si>
    <t>The dataset contains 1,000 transaction lines across 10 original columns, covering the period from 1 January 2024 to 30 December 2025. It captures transaction dates, restaurant locations, order types, menu items, categories, quantities, prices, order totals, and customer ratings. Four enrichment columns (Month, Month Number, Day of Week, Day Number) were added to support time-based analysis. The dataset does not contain customer-level information or cost/profit data.</t>
  </si>
  <si>
    <t>2.  Dataset Overview</t>
  </si>
  <si>
    <t>This dataset contains 1,000 restaurant transaction line items collected between January 2024 and December 2025, where each row represents an individual menu item transaction with details on location, order type, category, quantity, revenue, and customer rating. The Restaurant Owner/Executive Manager uses these insights to make strategic decisions around branch performance and resource allocation, while the Marketing Manager uses them to develop targeted promotions. This analysis answers questions around location performance, revenue drivers by menu category and item, revenue trends over time, and customer satisfaction patterns across locations and order types. However, the dataset does not include customer-level information or cost data, limiting deeper analysis of customer behaviour and profitability.</t>
  </si>
  <si>
    <t>1.  Problem Statement</t>
  </si>
  <si>
    <t>Data Analysis Project  |  1,000 Transaction Lines  |  Jan 2024 – Dec 2025  |  Lithemba Jan</t>
  </si>
  <si>
    <t>Restaurant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</si>
</sst>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409]#,##0.00"/>
    <numFmt numFmtId="166" formatCode="0.0"/>
    <numFmt numFmtId="168" formatCode="mm/dd/yy;@"/>
    <numFmt numFmtId="169" formatCode="&quot;$&quot;#,##0.00"/>
  </numFmts>
  <fonts count="13" x14ac:knownFonts="1">
    <font>
      <sz val="11"/>
      <color theme="1"/>
      <name val="Aptos Narrow"/>
      <family val="2"/>
      <scheme val="minor"/>
    </font>
    <font>
      <b/>
      <sz val="11"/>
      <color theme="1"/>
      <name val="Aptos Narrow"/>
      <family val="2"/>
      <scheme val="minor"/>
    </font>
    <font>
      <sz val="11"/>
      <color theme="1"/>
      <name val="Arial Black"/>
      <family val="2"/>
    </font>
    <font>
      <b/>
      <sz val="11"/>
      <color theme="0"/>
      <name val="Aptos Narrow"/>
      <family val="2"/>
      <scheme val="minor"/>
    </font>
    <font>
      <b/>
      <sz val="28"/>
      <color theme="0"/>
      <name val="Aptos Narrow"/>
      <family val="2"/>
      <scheme val="minor"/>
    </font>
    <font>
      <b/>
      <sz val="10"/>
      <color theme="0" tint="-0.249977111117893"/>
      <name val="Arial Black"/>
      <family val="2"/>
    </font>
    <font>
      <b/>
      <sz val="9"/>
      <color theme="0" tint="-0.249977111117893"/>
      <name val="Arial Black"/>
      <family val="2"/>
    </font>
    <font>
      <b/>
      <sz val="10"/>
      <color theme="0" tint="-0.249977111117893"/>
      <name val="Aptos Narrow"/>
      <family val="2"/>
      <scheme val="minor"/>
    </font>
    <font>
      <sz val="11"/>
      <color rgb="FF3A3A3A"/>
      <name val="Arial"/>
    </font>
    <font>
      <b/>
      <sz val="13"/>
      <color rgb="FFFFFFFF"/>
      <name val="Arial"/>
    </font>
    <font>
      <b/>
      <sz val="11.5"/>
      <color rgb="FF38805F"/>
      <name val="Arial"/>
    </font>
    <font>
      <i/>
      <sz val="12"/>
      <color rgb="FF37896E"/>
      <name val="Arial"/>
    </font>
    <font>
      <b/>
      <sz val="26"/>
      <color rgb="FF38805F"/>
      <name val="Arial"/>
    </font>
  </fonts>
  <fills count="10">
    <fill>
      <patternFill patternType="none"/>
    </fill>
    <fill>
      <patternFill patternType="gray125"/>
    </fill>
    <fill>
      <patternFill patternType="solid">
        <fgColor theme="9" tint="0.79998168889431442"/>
        <bgColor theme="9" tint="0.79998168889431442"/>
      </patternFill>
    </fill>
    <fill>
      <patternFill patternType="solid">
        <fgColor theme="0"/>
        <bgColor theme="9" tint="0.79998168889431442"/>
      </patternFill>
    </fill>
    <fill>
      <patternFill patternType="solid">
        <fgColor rgb="FF37896E"/>
        <bgColor indexed="64"/>
      </patternFill>
    </fill>
    <fill>
      <patternFill patternType="solid">
        <fgColor theme="0"/>
        <bgColor indexed="64"/>
      </patternFill>
    </fill>
    <fill>
      <patternFill patternType="solid">
        <fgColor rgb="FF37896E"/>
        <bgColor theme="9"/>
      </patternFill>
    </fill>
    <fill>
      <patternFill patternType="solid">
        <fgColor theme="0" tint="-0.14999847407452621"/>
        <bgColor theme="9" tint="0.79998168889431442"/>
      </patternFill>
    </fill>
    <fill>
      <patternFill patternType="solid">
        <fgColor theme="0" tint="-0.14999847407452621"/>
        <bgColor indexed="64"/>
      </patternFill>
    </fill>
    <fill>
      <patternFill patternType="solid">
        <fgColor rgb="FF37896E"/>
        <bgColor rgb="FF37896E"/>
      </patternFill>
    </fill>
  </fills>
  <borders count="29">
    <border>
      <left/>
      <right/>
      <top/>
      <bottom/>
      <diagonal/>
    </border>
    <border>
      <left style="thin">
        <color theme="9"/>
      </left>
      <right style="thin">
        <color theme="9"/>
      </right>
      <top style="thin">
        <color theme="9"/>
      </top>
      <bottom style="thin">
        <color theme="9"/>
      </bottom>
      <diagonal/>
    </border>
    <border>
      <left style="thin">
        <color theme="9"/>
      </left>
      <right/>
      <top style="thin">
        <color theme="9"/>
      </top>
      <bottom/>
      <diagonal/>
    </border>
    <border>
      <left style="thin">
        <color theme="9"/>
      </left>
      <right style="thin">
        <color theme="9"/>
      </right>
      <top style="thin">
        <color theme="9"/>
      </top>
      <bottom/>
      <diagonal/>
    </border>
    <border>
      <left style="thin">
        <color theme="9"/>
      </left>
      <right/>
      <top style="medium">
        <color theme="9"/>
      </top>
      <bottom/>
      <diagonal/>
    </border>
    <border>
      <left style="thin">
        <color theme="9"/>
      </left>
      <right style="thin">
        <color theme="9"/>
      </right>
      <top style="medium">
        <color theme="9"/>
      </top>
      <bottom/>
      <diagonal/>
    </border>
    <border>
      <left style="thin">
        <color theme="9"/>
      </left>
      <right/>
      <top style="thin">
        <color theme="9"/>
      </top>
      <bottom style="thin">
        <color theme="9"/>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4" tint="0.39997558519241921"/>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4" tint="0.39997558519241921"/>
      </top>
      <bottom/>
      <diagonal/>
    </border>
    <border>
      <left/>
      <right style="thin">
        <color theme="9" tint="0.39997558519241921"/>
      </right>
      <top style="thin">
        <color theme="4" tint="0.39997558519241921"/>
      </top>
      <bottom/>
      <diagonal/>
    </border>
    <border>
      <left/>
      <right/>
      <top/>
      <bottom style="thin">
        <color theme="9" tint="0.39997558519241921"/>
      </bottom>
      <diagonal/>
    </border>
    <border>
      <left/>
      <right style="medium">
        <color theme="9" tint="-0.499984740745262"/>
      </right>
      <top/>
      <bottom/>
      <diagonal/>
    </border>
    <border>
      <left style="medium">
        <color theme="9" tint="-0.499984740745262"/>
      </left>
      <right/>
      <top/>
      <bottom/>
      <diagonal/>
    </border>
    <border>
      <left/>
      <right/>
      <top style="medium">
        <color theme="9" tint="-0.499984740745262"/>
      </top>
      <bottom/>
      <diagonal/>
    </border>
    <border>
      <left style="medium">
        <color theme="9" tint="-0.499984740745262"/>
      </left>
      <right/>
      <top/>
      <bottom style="medium">
        <color theme="9" tint="-0.499984740745262"/>
      </bottom>
      <diagonal/>
    </border>
    <border>
      <left/>
      <right style="medium">
        <color theme="9" tint="-0.499984740745262"/>
      </right>
      <top/>
      <bottom style="medium">
        <color theme="9" tint="-0.499984740745262"/>
      </bottom>
      <diagonal/>
    </border>
    <border>
      <left style="medium">
        <color theme="9" tint="-0.499984740745262"/>
      </left>
      <right style="thin">
        <color theme="0" tint="-0.14999847407452621"/>
      </right>
      <top style="slantDashDot">
        <color theme="9" tint="-0.499984740745262"/>
      </top>
      <bottom/>
      <diagonal/>
    </border>
    <border>
      <left/>
      <right style="medium">
        <color theme="9" tint="-0.499984740745262"/>
      </right>
      <top style="slantDashDot">
        <color theme="9" tint="-0.499984740745262"/>
      </top>
      <bottom/>
      <diagonal/>
    </border>
    <border>
      <left style="thin">
        <color theme="9" tint="0.39997558519241921"/>
      </left>
      <right/>
      <top/>
      <bottom/>
      <diagonal/>
    </border>
    <border>
      <left/>
      <right style="thin">
        <color theme="9" tint="0.39997558519241921"/>
      </right>
      <top/>
      <bottom/>
      <diagonal/>
    </border>
    <border>
      <left style="medium">
        <color theme="9" tint="-0.499984740745262"/>
      </left>
      <right/>
      <top style="slantDashDot">
        <color theme="9" tint="-0.499984740745262"/>
      </top>
      <bottom/>
      <diagonal/>
    </border>
    <border>
      <left/>
      <right/>
      <top style="thin">
        <color rgb="FF8ED973"/>
      </top>
      <bottom style="thin">
        <color theme="9" tint="0.39997558519241921"/>
      </bottom>
      <diagonal/>
    </border>
    <border>
      <left style="thin">
        <color rgb="FF8ED973"/>
      </left>
      <right style="thin">
        <color rgb="FF8ED973"/>
      </right>
      <top style="thin">
        <color rgb="FF8ED973"/>
      </top>
      <bottom style="thin">
        <color rgb="FF8ED973"/>
      </bottom>
      <diagonal/>
    </border>
  </borders>
  <cellStyleXfs count="1">
    <xf numFmtId="0" fontId="0" fillId="0" borderId="0"/>
  </cellStyleXfs>
  <cellXfs count="81">
    <xf numFmtId="0" fontId="0" fillId="0" borderId="0" xfId="0"/>
    <xf numFmtId="165" fontId="0" fillId="0" borderId="0" xfId="0" applyNumberFormat="1"/>
    <xf numFmtId="1" fontId="0" fillId="0" borderId="0" xfId="0" applyNumberFormat="1"/>
    <xf numFmtId="0" fontId="1" fillId="0" borderId="0" xfId="0" applyFont="1"/>
    <xf numFmtId="0" fontId="1" fillId="0" borderId="2" xfId="0" applyFont="1" applyBorder="1"/>
    <xf numFmtId="0" fontId="1" fillId="0" borderId="3" xfId="0" applyFont="1" applyBorder="1"/>
    <xf numFmtId="0" fontId="0" fillId="2" borderId="4" xfId="0" applyFill="1" applyBorder="1"/>
    <xf numFmtId="165" fontId="0" fillId="2" borderId="5" xfId="0" applyNumberFormat="1" applyFill="1" applyBorder="1"/>
    <xf numFmtId="0" fontId="0" fillId="0" borderId="2" xfId="0" applyBorder="1"/>
    <xf numFmtId="1" fontId="0" fillId="0" borderId="3" xfId="0" applyNumberFormat="1" applyBorder="1"/>
    <xf numFmtId="0" fontId="0" fillId="2" borderId="2" xfId="0" applyFill="1" applyBorder="1"/>
    <xf numFmtId="165" fontId="0" fillId="2" borderId="3" xfId="0" applyNumberFormat="1" applyFill="1" applyBorder="1"/>
    <xf numFmtId="0" fontId="0" fillId="0" borderId="6" xfId="0" applyBorder="1"/>
    <xf numFmtId="166" fontId="0" fillId="0" borderId="1" xfId="0" applyNumberFormat="1" applyBorder="1"/>
    <xf numFmtId="0" fontId="0" fillId="3" borderId="12" xfId="0" applyFill="1" applyBorder="1"/>
    <xf numFmtId="166" fontId="0" fillId="3" borderId="13" xfId="0" applyNumberFormat="1" applyFill="1" applyBorder="1"/>
    <xf numFmtId="0" fontId="0" fillId="3" borderId="13" xfId="0" applyFill="1" applyBorder="1"/>
    <xf numFmtId="0" fontId="0" fillId="0" borderId="17" xfId="0" applyBorder="1"/>
    <xf numFmtId="0" fontId="0" fillId="0" borderId="18" xfId="0" applyBorder="1"/>
    <xf numFmtId="0" fontId="0" fillId="0" borderId="19" xfId="0" applyBorder="1"/>
    <xf numFmtId="168" fontId="0" fillId="0" borderId="0" xfId="0" applyNumberFormat="1"/>
    <xf numFmtId="0" fontId="0" fillId="3" borderId="11" xfId="0" applyFill="1" applyBorder="1"/>
    <xf numFmtId="0" fontId="0" fillId="5" borderId="11" xfId="0" applyFill="1" applyBorder="1"/>
    <xf numFmtId="0" fontId="3" fillId="6" borderId="11" xfId="0" applyFont="1" applyFill="1" applyBorder="1"/>
    <xf numFmtId="0" fontId="3" fillId="6" borderId="12" xfId="0" applyFont="1" applyFill="1" applyBorder="1"/>
    <xf numFmtId="0" fontId="3" fillId="6" borderId="13" xfId="0" applyFont="1" applyFill="1" applyBorder="1"/>
    <xf numFmtId="0" fontId="3" fillId="6" borderId="0" xfId="0" applyFont="1" applyFill="1"/>
    <xf numFmtId="0" fontId="0" fillId="3" borderId="14" xfId="0" applyFill="1" applyBorder="1" applyAlignment="1">
      <alignment horizontal="left"/>
    </xf>
    <xf numFmtId="1" fontId="0" fillId="3" borderId="15" xfId="0" applyNumberFormat="1" applyFill="1" applyBorder="1"/>
    <xf numFmtId="0" fontId="0" fillId="5" borderId="11" xfId="0" applyFill="1" applyBorder="1" applyAlignment="1">
      <alignment horizontal="left"/>
    </xf>
    <xf numFmtId="1" fontId="0" fillId="5" borderId="13" xfId="0" applyNumberFormat="1" applyFill="1" applyBorder="1"/>
    <xf numFmtId="0" fontId="0" fillId="3" borderId="11" xfId="0" applyFill="1" applyBorder="1" applyAlignment="1">
      <alignment horizontal="left"/>
    </xf>
    <xf numFmtId="1" fontId="0" fillId="3" borderId="13" xfId="0" applyNumberFormat="1" applyFill="1" applyBorder="1"/>
    <xf numFmtId="0" fontId="0" fillId="3" borderId="14" xfId="0" applyFill="1" applyBorder="1"/>
    <xf numFmtId="0" fontId="0" fillId="3" borderId="10" xfId="0" applyFill="1" applyBorder="1"/>
    <xf numFmtId="166" fontId="0" fillId="3" borderId="15" xfId="0" applyNumberFormat="1" applyFill="1" applyBorder="1"/>
    <xf numFmtId="0" fontId="0" fillId="5" borderId="12" xfId="0" applyFill="1" applyBorder="1"/>
    <xf numFmtId="166" fontId="0" fillId="5" borderId="13" xfId="0" applyNumberFormat="1" applyFill="1" applyBorder="1"/>
    <xf numFmtId="0" fontId="1" fillId="7" borderId="7" xfId="0" applyFont="1" applyFill="1" applyBorder="1"/>
    <xf numFmtId="0" fontId="1" fillId="7" borderId="8" xfId="0" applyFont="1" applyFill="1" applyBorder="1"/>
    <xf numFmtId="166" fontId="1" fillId="7" borderId="9" xfId="0" applyNumberFormat="1" applyFont="1" applyFill="1" applyBorder="1"/>
    <xf numFmtId="0" fontId="1" fillId="7" borderId="7" xfId="0" applyFont="1" applyFill="1" applyBorder="1" applyAlignment="1">
      <alignment horizontal="left"/>
    </xf>
    <xf numFmtId="1" fontId="1" fillId="7" borderId="9" xfId="0" applyNumberFormat="1" applyFont="1" applyFill="1" applyBorder="1"/>
    <xf numFmtId="0" fontId="1" fillId="8" borderId="7" xfId="0" applyFont="1" applyFill="1" applyBorder="1"/>
    <xf numFmtId="0" fontId="1" fillId="8" borderId="9" xfId="0" applyFont="1" applyFill="1" applyBorder="1"/>
    <xf numFmtId="0" fontId="1" fillId="8" borderId="0" xfId="0" applyFont="1" applyFill="1"/>
    <xf numFmtId="0" fontId="1" fillId="7" borderId="24" xfId="0" applyFont="1" applyFill="1" applyBorder="1"/>
    <xf numFmtId="0" fontId="1" fillId="7" borderId="25" xfId="0" applyFont="1" applyFill="1" applyBorder="1"/>
    <xf numFmtId="169" fontId="0" fillId="0" borderId="0" xfId="0" applyNumberFormat="1"/>
    <xf numFmtId="169" fontId="3" fillId="6" borderId="12" xfId="0" applyNumberFormat="1" applyFont="1" applyFill="1" applyBorder="1"/>
    <xf numFmtId="169" fontId="0" fillId="3" borderId="12" xfId="0" applyNumberFormat="1" applyFill="1" applyBorder="1"/>
    <xf numFmtId="169" fontId="1" fillId="8" borderId="8" xfId="0" applyNumberFormat="1" applyFont="1" applyFill="1" applyBorder="1"/>
    <xf numFmtId="169" fontId="1" fillId="7" borderId="0" xfId="0" applyNumberFormat="1" applyFont="1" applyFill="1"/>
    <xf numFmtId="169" fontId="0" fillId="5" borderId="12" xfId="0" applyNumberFormat="1" applyFill="1" applyBorder="1"/>
    <xf numFmtId="169" fontId="1" fillId="7" borderId="8" xfId="0" applyNumberFormat="1" applyFont="1" applyFill="1" applyBorder="1"/>
    <xf numFmtId="169" fontId="0" fillId="3" borderId="10" xfId="0" applyNumberFormat="1" applyFill="1" applyBorder="1"/>
    <xf numFmtId="168" fontId="3" fillId="6" borderId="11" xfId="0" applyNumberFormat="1" applyFont="1" applyFill="1" applyBorder="1"/>
    <xf numFmtId="169" fontId="0" fillId="5" borderId="27" xfId="0" applyNumberFormat="1" applyFill="1" applyBorder="1"/>
    <xf numFmtId="0" fontId="5" fillId="4" borderId="22" xfId="0" applyFont="1" applyFill="1" applyBorder="1" applyAlignment="1">
      <alignment horizontal="center"/>
    </xf>
    <xf numFmtId="0" fontId="7" fillId="4" borderId="23" xfId="0" applyFont="1" applyFill="1" applyBorder="1" applyAlignment="1">
      <alignment horizontal="center"/>
    </xf>
    <xf numFmtId="166" fontId="4" fillId="4" borderId="20" xfId="0" applyNumberFormat="1" applyFont="1" applyFill="1" applyBorder="1" applyAlignment="1">
      <alignment horizontal="center"/>
    </xf>
    <xf numFmtId="166" fontId="4" fillId="4" borderId="21" xfId="0" applyNumberFormat="1" applyFont="1" applyFill="1" applyBorder="1" applyAlignment="1">
      <alignment horizontal="center"/>
    </xf>
    <xf numFmtId="165" fontId="4" fillId="4" borderId="20" xfId="0" applyNumberFormat="1" applyFont="1" applyFill="1" applyBorder="1" applyAlignment="1">
      <alignment horizontal="center"/>
    </xf>
    <xf numFmtId="165" fontId="4" fillId="4" borderId="21" xfId="0" applyNumberFormat="1" applyFont="1" applyFill="1" applyBorder="1" applyAlignment="1">
      <alignment horizontal="center"/>
    </xf>
    <xf numFmtId="1" fontId="4" fillId="4" borderId="20" xfId="0" applyNumberFormat="1" applyFont="1" applyFill="1" applyBorder="1" applyAlignment="1">
      <alignment horizontal="center"/>
    </xf>
    <xf numFmtId="1" fontId="4" fillId="4" borderId="21" xfId="0" applyNumberFormat="1" applyFont="1" applyFill="1" applyBorder="1" applyAlignment="1">
      <alignment horizontal="center"/>
    </xf>
    <xf numFmtId="0" fontId="6" fillId="4" borderId="26" xfId="0" applyFont="1" applyFill="1" applyBorder="1" applyAlignment="1">
      <alignment horizontal="center"/>
    </xf>
    <xf numFmtId="0" fontId="6" fillId="4" borderId="23" xfId="0" applyFont="1" applyFill="1" applyBorder="1" applyAlignment="1">
      <alignment horizontal="center"/>
    </xf>
    <xf numFmtId="0" fontId="10" fillId="0" borderId="28" xfId="0" applyFont="1" applyBorder="1" applyAlignment="1">
      <alignment horizontal="left" vertical="center" indent="1"/>
    </xf>
    <xf numFmtId="0" fontId="0" fillId="0" borderId="28" xfId="0" applyBorder="1"/>
    <xf numFmtId="0" fontId="8" fillId="0" borderId="28" xfId="0" applyFont="1" applyBorder="1" applyAlignment="1">
      <alignment horizontal="left" vertical="top" wrapText="1" indent="1"/>
    </xf>
    <xf numFmtId="0" fontId="9" fillId="9" borderId="28" xfId="0" applyFont="1" applyFill="1" applyBorder="1" applyAlignment="1">
      <alignment horizontal="left" vertical="center" indent="1"/>
    </xf>
    <xf numFmtId="0" fontId="0" fillId="9" borderId="28" xfId="0" applyFill="1" applyBorder="1"/>
    <xf numFmtId="0" fontId="12" fillId="0" borderId="0" xfId="0" applyFont="1" applyAlignment="1">
      <alignment horizontal="left" vertical="center" indent="1"/>
    </xf>
    <xf numFmtId="0" fontId="0" fillId="0" borderId="0" xfId="0"/>
    <xf numFmtId="0" fontId="11" fillId="0" borderId="0" xfId="0" applyFont="1" applyAlignment="1">
      <alignment horizontal="left" vertical="center" indent="1"/>
    </xf>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1" fillId="0" borderId="16" xfId="0" applyFont="1" applyBorder="1" applyAlignment="1">
      <alignment horizontal="center"/>
    </xf>
    <xf numFmtId="0" fontId="0" fillId="0" borderId="16" xfId="0" applyBorder="1" applyAlignment="1">
      <alignment horizontal="center"/>
    </xf>
  </cellXfs>
  <cellStyles count="1">
    <cellStyle name="Normal" xfId="0" builtinId="0"/>
  </cellStyles>
  <dxfs count="9">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65" formatCode="[$$-409]#,##0.00"/>
    </dxf>
    <dxf>
      <numFmt numFmtId="165" formatCode="[$$-409]#,##0.00"/>
    </dxf>
    <dxf>
      <numFmt numFmtId="168" formatCode="mm/dd/yy;@"/>
    </dxf>
    <dxf>
      <font>
        <b/>
        <i val="0"/>
        <strike val="0"/>
        <condense val="0"/>
        <extend val="0"/>
        <outline val="0"/>
        <shadow val="0"/>
        <u val="none"/>
        <vertAlign val="baseline"/>
        <sz val="11"/>
        <color theme="0"/>
        <name val="Aptos Narrow"/>
        <family val="2"/>
        <scheme val="minor"/>
      </font>
      <fill>
        <patternFill patternType="solid">
          <fgColor theme="9"/>
          <bgColor rgb="FF37896E"/>
        </patternFill>
      </fill>
      <border diagonalUp="0" diagonalDown="0" outline="0">
        <left style="thin">
          <color theme="9" tint="0.39997558519241921"/>
        </left>
        <right style="thin">
          <color theme="9" tint="0.39997558519241921"/>
        </right>
        <top/>
        <bottom/>
      </border>
    </dxf>
  </dxfs>
  <tableStyles count="0" defaultTableStyle="TableStyleMedium2" defaultPivotStyle="PivotStyleLight16"/>
  <colors>
    <mruColors>
      <color rgb="FF8ED973"/>
      <color rgb="FF38805F"/>
      <color rgb="FF37896E"/>
      <color rgb="FF4C8E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ZA"/>
              <a:t>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bar"/>
        <c:grouping val="clustered"/>
        <c:varyColors val="0"/>
        <c:ser>
          <c:idx val="0"/>
          <c:order val="0"/>
          <c:tx>
            <c:strRef>
              <c:f>Analysis_WorkingData!$E$3</c:f>
              <c:strCache>
                <c:ptCount val="1"/>
                <c:pt idx="0">
                  <c:v>Total Revenue</c:v>
                </c:pt>
              </c:strCache>
            </c:strRef>
          </c:tx>
          <c:spPr>
            <a:solidFill>
              <a:schemeClr val="accent1"/>
            </a:solidFill>
            <a:ln>
              <a:noFill/>
            </a:ln>
            <a:effectLst/>
          </c:spPr>
          <c:invertIfNegative val="0"/>
          <c:cat>
            <c:strRef>
              <c:f>Analysis_WorkingData!$D$4:$D$13</c:f>
              <c:strCache>
                <c:ptCount val="10"/>
                <c:pt idx="0">
                  <c:v>Downtown Manhattan</c:v>
                </c:pt>
                <c:pt idx="1">
                  <c:v>Coral Gables</c:v>
                </c:pt>
                <c:pt idx="2">
                  <c:v>Austin South Congress</c:v>
                </c:pt>
                <c:pt idx="3">
                  <c:v>Lincoln Park</c:v>
                </c:pt>
                <c:pt idx="4">
                  <c:v>Brooklyn Heights</c:v>
                </c:pt>
                <c:pt idx="5">
                  <c:v>Miami Beach</c:v>
                </c:pt>
                <c:pt idx="6">
                  <c:v>Chicago Loop</c:v>
                </c:pt>
                <c:pt idx="7">
                  <c:v>Austin Downtown</c:v>
                </c:pt>
                <c:pt idx="8">
                  <c:v>Midtown East</c:v>
                </c:pt>
                <c:pt idx="9">
                  <c:v>Upper West Side</c:v>
                </c:pt>
              </c:strCache>
            </c:strRef>
          </c:cat>
          <c:val>
            <c:numRef>
              <c:f>Analysis_WorkingData!$E$4:$E$13</c:f>
              <c:numCache>
                <c:formatCode>"$"#,##0.00</c:formatCode>
                <c:ptCount val="10"/>
                <c:pt idx="0">
                  <c:v>3675.4999999999936</c:v>
                </c:pt>
                <c:pt idx="1">
                  <c:v>3093.4999999999964</c:v>
                </c:pt>
                <c:pt idx="2">
                  <c:v>2712.5999999999976</c:v>
                </c:pt>
                <c:pt idx="3">
                  <c:v>2612.2899999999972</c:v>
                </c:pt>
                <c:pt idx="4">
                  <c:v>2468.8599999999979</c:v>
                </c:pt>
                <c:pt idx="5">
                  <c:v>2451.8599999999997</c:v>
                </c:pt>
                <c:pt idx="6">
                  <c:v>2405.2400000000002</c:v>
                </c:pt>
                <c:pt idx="7">
                  <c:v>2178.0499999999997</c:v>
                </c:pt>
                <c:pt idx="8">
                  <c:v>2164.3900000000003</c:v>
                </c:pt>
                <c:pt idx="9">
                  <c:v>2037.160000000001</c:v>
                </c:pt>
              </c:numCache>
            </c:numRef>
          </c:val>
          <c:extLst>
            <c:ext xmlns:c16="http://schemas.microsoft.com/office/drawing/2014/chart" uri="{C3380CC4-5D6E-409C-BE32-E72D297353CC}">
              <c16:uniqueId val="{00000000-1496-4E5E-9251-27761564C934}"/>
            </c:ext>
          </c:extLst>
        </c:ser>
        <c:dLbls>
          <c:showLegendKey val="0"/>
          <c:showVal val="0"/>
          <c:showCatName val="0"/>
          <c:showSerName val="0"/>
          <c:showPercent val="0"/>
          <c:showBubbleSize val="0"/>
        </c:dLbls>
        <c:gapWidth val="182"/>
        <c:axId val="295836224"/>
        <c:axId val="295840544"/>
      </c:barChart>
      <c:catAx>
        <c:axId val="295836224"/>
        <c:scaling>
          <c:orientation val="maxMin"/>
        </c:scaling>
        <c:delete val="0"/>
        <c:axPos val="l"/>
        <c:numFmt formatCode="General" sourceLinked="1"/>
        <c:majorTickMark val="none"/>
        <c:minorTickMark val="none"/>
        <c:tickLblPos val="nextTo"/>
        <c:spPr>
          <a:noFill/>
          <a:ln w="12700" cap="flat" cmpd="sng" algn="ctr">
            <a:solidFill>
              <a:schemeClr val="accent6"/>
            </a:solidFill>
            <a:prstDash val="solid"/>
            <a:miter lim="800000"/>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95840544"/>
        <c:crosses val="autoZero"/>
        <c:auto val="1"/>
        <c:lblAlgn val="ctr"/>
        <c:lblOffset val="100"/>
        <c:noMultiLvlLbl val="0"/>
      </c:catAx>
      <c:valAx>
        <c:axId val="295840544"/>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dk1"/>
                </a:solidFill>
                <a:latin typeface="+mn-lt"/>
                <a:ea typeface="+mn-ea"/>
                <a:cs typeface="+mn-cs"/>
              </a:defRPr>
            </a:pPr>
            <a:endParaRPr lang="en-US"/>
          </a:p>
        </c:txPr>
        <c:crossAx val="29583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ZA"/>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Analysis_WorkingData!$E$25</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Analysis_WorkingData!$D$26:$D$37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Analysis_WorkingData!$E$26:$E$37</c:f>
              <c:numCache>
                <c:formatCode>"$"#,##0.00</c:formatCode>
                <c:ptCount val="12"/>
                <c:pt idx="0">
                  <c:v>2382.3999999999992</c:v>
                </c:pt>
                <c:pt idx="1">
                  <c:v>1403.9600000000007</c:v>
                </c:pt>
                <c:pt idx="2">
                  <c:v>2079.1100000000006</c:v>
                </c:pt>
                <c:pt idx="3">
                  <c:v>2185.5200000000004</c:v>
                </c:pt>
                <c:pt idx="4">
                  <c:v>2216.4299999999994</c:v>
                </c:pt>
                <c:pt idx="5">
                  <c:v>2391.3999999999996</c:v>
                </c:pt>
                <c:pt idx="6">
                  <c:v>1855.7300000000009</c:v>
                </c:pt>
                <c:pt idx="7">
                  <c:v>1989.690000000001</c:v>
                </c:pt>
                <c:pt idx="8">
                  <c:v>2575.1799999999994</c:v>
                </c:pt>
                <c:pt idx="9">
                  <c:v>2543.2699999999986</c:v>
                </c:pt>
                <c:pt idx="10">
                  <c:v>2122.52</c:v>
                </c:pt>
                <c:pt idx="11">
                  <c:v>2054.2400000000007</c:v>
                </c:pt>
              </c:numCache>
            </c:numRef>
          </c:val>
          <c:smooth val="0"/>
          <c:extLst>
            <c:ext xmlns:c16="http://schemas.microsoft.com/office/drawing/2014/chart" uri="{C3380CC4-5D6E-409C-BE32-E72D297353CC}">
              <c16:uniqueId val="{00000000-7541-441E-94F4-12FC8E21488F}"/>
            </c:ext>
          </c:extLst>
        </c:ser>
        <c:dLbls>
          <c:showLegendKey val="0"/>
          <c:showVal val="0"/>
          <c:showCatName val="0"/>
          <c:showSerName val="0"/>
          <c:showPercent val="0"/>
          <c:showBubbleSize val="0"/>
        </c:dLbls>
        <c:marker val="1"/>
        <c:smooth val="0"/>
        <c:axId val="250535296"/>
        <c:axId val="250530016"/>
      </c:lineChart>
      <c:catAx>
        <c:axId val="2505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50530016"/>
        <c:crosses val="autoZero"/>
        <c:auto val="1"/>
        <c:lblAlgn val="ctr"/>
        <c:lblOffset val="100"/>
        <c:noMultiLvlLbl val="0"/>
      </c:catAx>
      <c:valAx>
        <c:axId val="25053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5053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ZA"/>
              <a:t>Revenue by Item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Analysis_WorkingData!$E$17</c:f>
              <c:strCache>
                <c:ptCount val="1"/>
                <c:pt idx="0">
                  <c:v>Total Revenue</c:v>
                </c:pt>
              </c:strCache>
            </c:strRef>
          </c:tx>
          <c:spPr>
            <a:solidFill>
              <a:schemeClr val="accent1"/>
            </a:solidFill>
            <a:ln>
              <a:noFill/>
            </a:ln>
            <a:effectLst/>
          </c:spPr>
          <c:invertIfNegative val="0"/>
          <c:cat>
            <c:strRef>
              <c:f>Analysis_WorkingData!$D$18:$D$21</c:f>
              <c:strCache>
                <c:ptCount val="4"/>
                <c:pt idx="0">
                  <c:v>Appetizer</c:v>
                </c:pt>
                <c:pt idx="1">
                  <c:v>Beverage</c:v>
                </c:pt>
                <c:pt idx="2">
                  <c:v>Dessert</c:v>
                </c:pt>
                <c:pt idx="3">
                  <c:v>Main</c:v>
                </c:pt>
              </c:strCache>
            </c:strRef>
          </c:cat>
          <c:val>
            <c:numRef>
              <c:f>Analysis_WorkingData!$E$18:$E$21</c:f>
              <c:numCache>
                <c:formatCode>"$"#,##0.00</c:formatCode>
                <c:ptCount val="4"/>
                <c:pt idx="0">
                  <c:v>3872.629999999991</c:v>
                </c:pt>
                <c:pt idx="1">
                  <c:v>2382.4099999999985</c:v>
                </c:pt>
                <c:pt idx="2">
                  <c:v>2418.5699999999988</c:v>
                </c:pt>
                <c:pt idx="3">
                  <c:v>17125.839999999906</c:v>
                </c:pt>
              </c:numCache>
            </c:numRef>
          </c:val>
          <c:extLst>
            <c:ext xmlns:c16="http://schemas.microsoft.com/office/drawing/2014/chart" uri="{C3380CC4-5D6E-409C-BE32-E72D297353CC}">
              <c16:uniqueId val="{00000000-5706-4E88-9241-8C97B975B8C8}"/>
            </c:ext>
          </c:extLst>
        </c:ser>
        <c:dLbls>
          <c:showLegendKey val="0"/>
          <c:showVal val="0"/>
          <c:showCatName val="0"/>
          <c:showSerName val="0"/>
          <c:showPercent val="0"/>
          <c:showBubbleSize val="0"/>
        </c:dLbls>
        <c:gapWidth val="219"/>
        <c:axId val="250535776"/>
        <c:axId val="250529056"/>
      </c:barChart>
      <c:catAx>
        <c:axId val="25053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50529056"/>
        <c:crosses val="autoZero"/>
        <c:auto val="1"/>
        <c:lblAlgn val="ctr"/>
        <c:lblOffset val="100"/>
        <c:noMultiLvlLbl val="0"/>
      </c:catAx>
      <c:valAx>
        <c:axId val="250529056"/>
        <c:scaling>
          <c:orientation val="minMax"/>
        </c:scaling>
        <c:delete val="0"/>
        <c:axPos val="l"/>
        <c:majorGridlines>
          <c:spPr>
            <a:ln w="9525" cap="flat" cmpd="sng" algn="ctr">
              <a:solidFill>
                <a:schemeClr val="accent6"/>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5053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ZA"/>
              <a:t>Revenue by Menu Items (TOP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bar"/>
        <c:grouping val="clustered"/>
        <c:varyColors val="0"/>
        <c:ser>
          <c:idx val="0"/>
          <c:order val="0"/>
          <c:tx>
            <c:strRef>
              <c:f>Analysis_WorkingData!$O$4</c:f>
              <c:strCache>
                <c:ptCount val="1"/>
                <c:pt idx="0">
                  <c:v>Total Revenue</c:v>
                </c:pt>
              </c:strCache>
            </c:strRef>
          </c:tx>
          <c:spPr>
            <a:solidFill>
              <a:schemeClr val="accent1"/>
            </a:solidFill>
            <a:ln>
              <a:noFill/>
            </a:ln>
            <a:effectLst/>
          </c:spPr>
          <c:invertIfNegative val="0"/>
          <c:cat>
            <c:strRef>
              <c:f>Analysis_WorkingData!$N$5:$N$14</c:f>
              <c:strCache>
                <c:ptCount val="10"/>
                <c:pt idx="0">
                  <c:v>NY Strip Steak</c:v>
                </c:pt>
                <c:pt idx="1">
                  <c:v>BBQ Ribs</c:v>
                </c:pt>
                <c:pt idx="2">
                  <c:v>Grilled Salmon</c:v>
                </c:pt>
                <c:pt idx="3">
                  <c:v>Chicken Parmesan</c:v>
                </c:pt>
                <c:pt idx="4">
                  <c:v>Mushroom Risotto</c:v>
                </c:pt>
                <c:pt idx="5">
                  <c:v>Fish &amp; Chips</c:v>
                </c:pt>
                <c:pt idx="6">
                  <c:v>Burger Deluxe</c:v>
                </c:pt>
                <c:pt idx="7">
                  <c:v>Pasta Primavera</c:v>
                </c:pt>
                <c:pt idx="8">
                  <c:v>Buffalo Wings</c:v>
                </c:pt>
                <c:pt idx="9">
                  <c:v>Mozzarella Sticks</c:v>
                </c:pt>
              </c:strCache>
            </c:strRef>
          </c:cat>
          <c:val>
            <c:numRef>
              <c:f>Analysis_WorkingData!$O$5:$O$14</c:f>
              <c:numCache>
                <c:formatCode>"$"#,##0.00</c:formatCode>
                <c:ptCount val="10"/>
                <c:pt idx="0">
                  <c:v>3496.9399999999973</c:v>
                </c:pt>
                <c:pt idx="1">
                  <c:v>2597.8699999999985</c:v>
                </c:pt>
                <c:pt idx="2">
                  <c:v>2424.0299999999993</c:v>
                </c:pt>
                <c:pt idx="3">
                  <c:v>2354.7599999999993</c:v>
                </c:pt>
                <c:pt idx="4">
                  <c:v>2072.7800000000007</c:v>
                </c:pt>
                <c:pt idx="5">
                  <c:v>1709.0500000000006</c:v>
                </c:pt>
                <c:pt idx="6">
                  <c:v>1391.1300000000006</c:v>
                </c:pt>
                <c:pt idx="7">
                  <c:v>1079.2800000000004</c:v>
                </c:pt>
                <c:pt idx="8">
                  <c:v>809.46000000000026</c:v>
                </c:pt>
                <c:pt idx="9">
                  <c:v>780.2900000000003</c:v>
                </c:pt>
              </c:numCache>
            </c:numRef>
          </c:val>
          <c:extLst>
            <c:ext xmlns:c16="http://schemas.microsoft.com/office/drawing/2014/chart" uri="{C3380CC4-5D6E-409C-BE32-E72D297353CC}">
              <c16:uniqueId val="{00000000-4EC0-4728-8E41-C83F341BDB58}"/>
            </c:ext>
          </c:extLst>
        </c:ser>
        <c:dLbls>
          <c:showLegendKey val="0"/>
          <c:showVal val="0"/>
          <c:showCatName val="0"/>
          <c:showSerName val="0"/>
          <c:showPercent val="0"/>
          <c:showBubbleSize val="0"/>
        </c:dLbls>
        <c:gapWidth val="219"/>
        <c:axId val="295826624"/>
        <c:axId val="295823744"/>
      </c:barChart>
      <c:catAx>
        <c:axId val="295826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95823744"/>
        <c:crosses val="autoZero"/>
        <c:auto val="1"/>
        <c:lblAlgn val="ctr"/>
        <c:lblOffset val="100"/>
        <c:noMultiLvlLbl val="0"/>
      </c:catAx>
      <c:valAx>
        <c:axId val="295823744"/>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dk1"/>
                </a:solidFill>
                <a:latin typeface="+mn-lt"/>
                <a:ea typeface="+mn-ea"/>
                <a:cs typeface="+mn-cs"/>
              </a:defRPr>
            </a:pPr>
            <a:endParaRPr lang="en-US"/>
          </a:p>
        </c:txPr>
        <c:crossAx val="29582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2</xdr:rowOff>
    </xdr:from>
    <xdr:to>
      <xdr:col>7</xdr:col>
      <xdr:colOff>106050</xdr:colOff>
      <xdr:row>21</xdr:row>
      <xdr:rowOff>109463</xdr:rowOff>
    </xdr:to>
    <xdr:graphicFrame macro="">
      <xdr:nvGraphicFramePr>
        <xdr:cNvPr id="2" name="Chart 1">
          <a:extLst>
            <a:ext uri="{FF2B5EF4-FFF2-40B4-BE49-F238E27FC236}">
              <a16:creationId xmlns:a16="http://schemas.microsoft.com/office/drawing/2014/main" id="{7967EB4D-C29C-49EA-BD34-13184F8EB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2</xdr:rowOff>
    </xdr:from>
    <xdr:to>
      <xdr:col>15</xdr:col>
      <xdr:colOff>106050</xdr:colOff>
      <xdr:row>21</xdr:row>
      <xdr:rowOff>109463</xdr:rowOff>
    </xdr:to>
    <xdr:graphicFrame macro="">
      <xdr:nvGraphicFramePr>
        <xdr:cNvPr id="3" name="Chart 2">
          <a:extLst>
            <a:ext uri="{FF2B5EF4-FFF2-40B4-BE49-F238E27FC236}">
              <a16:creationId xmlns:a16="http://schemas.microsoft.com/office/drawing/2014/main" id="{2A33010A-3344-492A-A349-8D9697B54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109293</xdr:rowOff>
    </xdr:from>
    <xdr:to>
      <xdr:col>7</xdr:col>
      <xdr:colOff>106050</xdr:colOff>
      <xdr:row>41</xdr:row>
      <xdr:rowOff>28254</xdr:rowOff>
    </xdr:to>
    <xdr:graphicFrame macro="">
      <xdr:nvGraphicFramePr>
        <xdr:cNvPr id="4" name="Chart 3">
          <a:extLst>
            <a:ext uri="{FF2B5EF4-FFF2-40B4-BE49-F238E27FC236}">
              <a16:creationId xmlns:a16="http://schemas.microsoft.com/office/drawing/2014/main" id="{7848D636-65B1-49E2-B089-B8FE7C96E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25</xdr:row>
      <xdr:rowOff>109293</xdr:rowOff>
    </xdr:from>
    <xdr:to>
      <xdr:col>15</xdr:col>
      <xdr:colOff>106050</xdr:colOff>
      <xdr:row>41</xdr:row>
      <xdr:rowOff>28254</xdr:rowOff>
    </xdr:to>
    <xdr:graphicFrame macro="">
      <xdr:nvGraphicFramePr>
        <xdr:cNvPr id="5" name="Chart 4">
          <a:extLst>
            <a:ext uri="{FF2B5EF4-FFF2-40B4-BE49-F238E27FC236}">
              <a16:creationId xmlns:a16="http://schemas.microsoft.com/office/drawing/2014/main" id="{60216BE4-C3C7-478A-8316-A16C89B57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CFB17E-B728-43EF-ACFB-B0D10D9B3160}" name="tbl_RawSales" displayName="tbl_RawSales" ref="A1:N1001" totalsRowShown="0" headerRowDxfId="8">
  <autoFilter ref="A1:N1001" xr:uid="{91B0B381-6FE6-4B24-8840-A2752167A525}"/>
  <tableColumns count="14">
    <tableColumn id="1" xr3:uid="{FE3D45BB-EE3E-40F9-9C48-51B7F51CD2F6}" name="Transaction ID"/>
    <tableColumn id="2" xr3:uid="{139C18D2-FB8B-4A98-A874-0CDFDDFE570E}" name="Order Date" dataDxfId="7"/>
    <tableColumn id="3" xr3:uid="{DD0F11C3-D3C4-4D74-93A0-EC616B0A3126}" name="Restaurant Location"/>
    <tableColumn id="4" xr3:uid="{DB59C63A-35B0-4AB3-9A91-8784FB6B163B}" name="Order Type"/>
    <tableColumn id="5" xr3:uid="{E7CF6153-B314-45C7-B258-EC19B70A4283}" name="Menu Item"/>
    <tableColumn id="6" xr3:uid="{4F333A7A-60F1-40C4-A859-52E61B8C6155}" name="Category"/>
    <tableColumn id="7" xr3:uid="{2B0EA7EF-289F-46C3-A6E9-3BEADD754F0A}" name="Quantity"/>
    <tableColumn id="8" xr3:uid="{454CD89B-5258-4B83-B703-529952B2272D}" name="Unit Price" dataDxfId="6"/>
    <tableColumn id="9" xr3:uid="{924728CE-7EA1-4D18-B2A6-5F2C1FBABC9F}" name="Order Total" dataDxfId="5"/>
    <tableColumn id="10" xr3:uid="{CEA4BBE6-1348-4B8B-B235-CC0235C4003C}" name="Customer Rating"/>
    <tableColumn id="11" xr3:uid="{B9CC755F-E884-40B8-B65C-44D9847F1D34}" name="Month" dataDxfId="4">
      <calculatedColumnFormula>TEXT(tbl_RawSales[[#This Row],[Order Date]],"mmm")</calculatedColumnFormula>
    </tableColumn>
    <tableColumn id="12" xr3:uid="{3201D4F7-2974-421F-B573-FD1C8EA161C7}" name="Month Number" dataDxfId="3">
      <calculatedColumnFormula>MONTH(tbl_RawSales[[#This Row],[Order Date]])</calculatedColumnFormula>
    </tableColumn>
    <tableColumn id="13" xr3:uid="{BD723FBE-1D2D-4A90-B0C4-66DA8455499E}" name="Day of the Week" dataDxfId="2">
      <calculatedColumnFormula>TEXT(tbl_RawSales[[#This Row],[Order Date]],"ddd")</calculatedColumnFormula>
    </tableColumn>
    <tableColumn id="14" xr3:uid="{6DAE2698-EE5E-4B22-AA06-3F1EB35DDA3E}" name="Day Number" dataDxfId="1">
      <calculatedColumnFormula>WEEKDAY(tbl_RawSales[[#This Row],[Order Date]],2)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087F-5928-4865-9E2F-B049EF54AE17}">
  <dimension ref="B2:H98"/>
  <sheetViews>
    <sheetView showGridLines="0" tabSelected="1" workbookViewId="0">
      <selection activeCell="B7" sqref="B7:H18"/>
    </sheetView>
  </sheetViews>
  <sheetFormatPr defaultRowHeight="15" x14ac:dyDescent="0.25"/>
  <cols>
    <col min="1" max="1" width="3" customWidth="1"/>
    <col min="2" max="7" width="13.42578125" customWidth="1"/>
    <col min="8" max="8" width="14.5703125" customWidth="1"/>
    <col min="9" max="9" width="3" customWidth="1"/>
  </cols>
  <sheetData>
    <row r="2" spans="2:8" ht="30" customHeight="1" x14ac:dyDescent="0.25">
      <c r="B2" s="73" t="s">
        <v>1106</v>
      </c>
      <c r="C2" s="74"/>
      <c r="D2" s="74"/>
      <c r="E2" s="74"/>
      <c r="F2" s="74"/>
      <c r="G2" s="74"/>
      <c r="H2" s="74"/>
    </row>
    <row r="3" spans="2:8" ht="21.95" customHeight="1" x14ac:dyDescent="0.25">
      <c r="B3" s="74"/>
      <c r="C3" s="74"/>
      <c r="D3" s="74"/>
      <c r="E3" s="74"/>
      <c r="F3" s="74"/>
      <c r="G3" s="74"/>
      <c r="H3" s="74"/>
    </row>
    <row r="4" spans="2:8" ht="20.100000000000001" customHeight="1" x14ac:dyDescent="0.25">
      <c r="B4" s="75" t="s">
        <v>1105</v>
      </c>
      <c r="C4" s="74"/>
      <c r="D4" s="74"/>
      <c r="E4" s="74"/>
      <c r="F4" s="74"/>
      <c r="G4" s="74"/>
      <c r="H4" s="74"/>
    </row>
    <row r="6" spans="2:8" ht="26.1" customHeight="1" x14ac:dyDescent="0.25">
      <c r="B6" s="71" t="s">
        <v>1104</v>
      </c>
      <c r="C6" s="72"/>
      <c r="D6" s="72"/>
      <c r="E6" s="72"/>
      <c r="F6" s="72"/>
      <c r="G6" s="72"/>
      <c r="H6" s="72"/>
    </row>
    <row r="7" spans="2:8" ht="15.95" customHeight="1" x14ac:dyDescent="0.25">
      <c r="B7" s="70" t="s">
        <v>1103</v>
      </c>
      <c r="C7" s="69"/>
      <c r="D7" s="69"/>
      <c r="E7" s="69"/>
      <c r="F7" s="69"/>
      <c r="G7" s="69"/>
      <c r="H7" s="69"/>
    </row>
    <row r="8" spans="2:8" ht="15.95" customHeight="1" x14ac:dyDescent="0.25">
      <c r="B8" s="69"/>
      <c r="C8" s="69"/>
      <c r="D8" s="69"/>
      <c r="E8" s="69"/>
      <c r="F8" s="69"/>
      <c r="G8" s="69"/>
      <c r="H8" s="69"/>
    </row>
    <row r="9" spans="2:8" ht="15.95" customHeight="1" x14ac:dyDescent="0.25">
      <c r="B9" s="69"/>
      <c r="C9" s="69"/>
      <c r="D9" s="69"/>
      <c r="E9" s="69"/>
      <c r="F9" s="69"/>
      <c r="G9" s="69"/>
      <c r="H9" s="69"/>
    </row>
    <row r="10" spans="2:8" ht="15.95" customHeight="1" x14ac:dyDescent="0.25">
      <c r="B10" s="69"/>
      <c r="C10" s="69"/>
      <c r="D10" s="69"/>
      <c r="E10" s="69"/>
      <c r="F10" s="69"/>
      <c r="G10" s="69"/>
      <c r="H10" s="69"/>
    </row>
    <row r="11" spans="2:8" ht="15.95" customHeight="1" x14ac:dyDescent="0.25">
      <c r="B11" s="69"/>
      <c r="C11" s="69"/>
      <c r="D11" s="69"/>
      <c r="E11" s="69"/>
      <c r="F11" s="69"/>
      <c r="G11" s="69"/>
      <c r="H11" s="69"/>
    </row>
    <row r="12" spans="2:8" ht="15.95" customHeight="1" x14ac:dyDescent="0.25">
      <c r="B12" s="69"/>
      <c r="C12" s="69"/>
      <c r="D12" s="69"/>
      <c r="E12" s="69"/>
      <c r="F12" s="69"/>
      <c r="G12" s="69"/>
      <c r="H12" s="69"/>
    </row>
    <row r="13" spans="2:8" ht="15.95" customHeight="1" x14ac:dyDescent="0.25">
      <c r="B13" s="69"/>
      <c r="C13" s="69"/>
      <c r="D13" s="69"/>
      <c r="E13" s="69"/>
      <c r="F13" s="69"/>
      <c r="G13" s="69"/>
      <c r="H13" s="69"/>
    </row>
    <row r="14" spans="2:8" ht="15.95" customHeight="1" x14ac:dyDescent="0.25">
      <c r="B14" s="69"/>
      <c r="C14" s="69"/>
      <c r="D14" s="69"/>
      <c r="E14" s="69"/>
      <c r="F14" s="69"/>
      <c r="G14" s="69"/>
      <c r="H14" s="69"/>
    </row>
    <row r="15" spans="2:8" ht="15.95" customHeight="1" x14ac:dyDescent="0.25">
      <c r="B15" s="69"/>
      <c r="C15" s="69"/>
      <c r="D15" s="69"/>
      <c r="E15" s="69"/>
      <c r="F15" s="69"/>
      <c r="G15" s="69"/>
      <c r="H15" s="69"/>
    </row>
    <row r="16" spans="2:8" ht="15.95" customHeight="1" x14ac:dyDescent="0.25">
      <c r="B16" s="69"/>
      <c r="C16" s="69"/>
      <c r="D16" s="69"/>
      <c r="E16" s="69"/>
      <c r="F16" s="69"/>
      <c r="G16" s="69"/>
      <c r="H16" s="69"/>
    </row>
    <row r="17" spans="2:8" ht="15.95" customHeight="1" x14ac:dyDescent="0.25">
      <c r="B17" s="69"/>
      <c r="C17" s="69"/>
      <c r="D17" s="69"/>
      <c r="E17" s="69"/>
      <c r="F17" s="69"/>
      <c r="G17" s="69"/>
      <c r="H17" s="69"/>
    </row>
    <row r="18" spans="2:8" ht="15.95" customHeight="1" x14ac:dyDescent="0.25">
      <c r="B18" s="69"/>
      <c r="C18" s="69"/>
      <c r="D18" s="69"/>
      <c r="E18" s="69"/>
      <c r="F18" s="69"/>
      <c r="G18" s="69"/>
      <c r="H18" s="69"/>
    </row>
    <row r="20" spans="2:8" ht="26.1" customHeight="1" x14ac:dyDescent="0.25">
      <c r="B20" s="71" t="s">
        <v>1102</v>
      </c>
      <c r="C20" s="72"/>
      <c r="D20" s="72"/>
      <c r="E20" s="72"/>
      <c r="F20" s="72"/>
      <c r="G20" s="72"/>
      <c r="H20" s="72"/>
    </row>
    <row r="21" spans="2:8" ht="15.95" customHeight="1" x14ac:dyDescent="0.25">
      <c r="B21" s="70" t="s">
        <v>1101</v>
      </c>
      <c r="C21" s="69"/>
      <c r="D21" s="69"/>
      <c r="E21" s="69"/>
      <c r="F21" s="69"/>
      <c r="G21" s="69"/>
      <c r="H21" s="69"/>
    </row>
    <row r="22" spans="2:8" ht="15.95" customHeight="1" x14ac:dyDescent="0.25">
      <c r="B22" s="69"/>
      <c r="C22" s="69"/>
      <c r="D22" s="69"/>
      <c r="E22" s="69"/>
      <c r="F22" s="69"/>
      <c r="G22" s="69"/>
      <c r="H22" s="69"/>
    </row>
    <row r="23" spans="2:8" ht="15.95" customHeight="1" x14ac:dyDescent="0.25">
      <c r="B23" s="69"/>
      <c r="C23" s="69"/>
      <c r="D23" s="69"/>
      <c r="E23" s="69"/>
      <c r="F23" s="69"/>
      <c r="G23" s="69"/>
      <c r="H23" s="69"/>
    </row>
    <row r="24" spans="2:8" ht="15.95" customHeight="1" x14ac:dyDescent="0.25">
      <c r="B24" s="69"/>
      <c r="C24" s="69"/>
      <c r="D24" s="69"/>
      <c r="E24" s="69"/>
      <c r="F24" s="69"/>
      <c r="G24" s="69"/>
      <c r="H24" s="69"/>
    </row>
    <row r="25" spans="2:8" ht="15.95" customHeight="1" x14ac:dyDescent="0.25">
      <c r="B25" s="69"/>
      <c r="C25" s="69"/>
      <c r="D25" s="69"/>
      <c r="E25" s="69"/>
      <c r="F25" s="69"/>
      <c r="G25" s="69"/>
      <c r="H25" s="69"/>
    </row>
    <row r="26" spans="2:8" ht="15.95" customHeight="1" x14ac:dyDescent="0.25">
      <c r="B26" s="69"/>
      <c r="C26" s="69"/>
      <c r="D26" s="69"/>
      <c r="E26" s="69"/>
      <c r="F26" s="69"/>
      <c r="G26" s="69"/>
      <c r="H26" s="69"/>
    </row>
    <row r="27" spans="2:8" ht="15.95" customHeight="1" x14ac:dyDescent="0.25">
      <c r="B27" s="69"/>
      <c r="C27" s="69"/>
      <c r="D27" s="69"/>
      <c r="E27" s="69"/>
      <c r="F27" s="69"/>
      <c r="G27" s="69"/>
      <c r="H27" s="69"/>
    </row>
    <row r="28" spans="2:8" ht="15.95" customHeight="1" x14ac:dyDescent="0.25">
      <c r="B28" s="69"/>
      <c r="C28" s="69"/>
      <c r="D28" s="69"/>
      <c r="E28" s="69"/>
      <c r="F28" s="69"/>
      <c r="G28" s="69"/>
      <c r="H28" s="69"/>
    </row>
    <row r="30" spans="2:8" ht="26.1" customHeight="1" x14ac:dyDescent="0.25">
      <c r="B30" s="71" t="s">
        <v>1100</v>
      </c>
      <c r="C30" s="72"/>
      <c r="D30" s="72"/>
      <c r="E30" s="72"/>
      <c r="F30" s="72"/>
      <c r="G30" s="72"/>
      <c r="H30" s="72"/>
    </row>
    <row r="31" spans="2:8" ht="15.95" customHeight="1" x14ac:dyDescent="0.25">
      <c r="B31" s="70" t="s">
        <v>1099</v>
      </c>
      <c r="C31" s="69"/>
      <c r="D31" s="69"/>
      <c r="E31" s="69"/>
      <c r="F31" s="69"/>
      <c r="G31" s="69"/>
      <c r="H31" s="69"/>
    </row>
    <row r="32" spans="2:8" ht="15.95" customHeight="1" x14ac:dyDescent="0.25">
      <c r="B32" s="69"/>
      <c r="C32" s="69"/>
      <c r="D32" s="69"/>
      <c r="E32" s="69"/>
      <c r="F32" s="69"/>
      <c r="G32" s="69"/>
      <c r="H32" s="69"/>
    </row>
    <row r="33" spans="2:8" ht="15.95" customHeight="1" x14ac:dyDescent="0.25">
      <c r="B33" s="69"/>
      <c r="C33" s="69"/>
      <c r="D33" s="69"/>
      <c r="E33" s="69"/>
      <c r="F33" s="69"/>
      <c r="G33" s="69"/>
      <c r="H33" s="69"/>
    </row>
    <row r="34" spans="2:8" ht="15.95" customHeight="1" x14ac:dyDescent="0.25">
      <c r="B34" s="69"/>
      <c r="C34" s="69"/>
      <c r="D34" s="69"/>
      <c r="E34" s="69"/>
      <c r="F34" s="69"/>
      <c r="G34" s="69"/>
      <c r="H34" s="69"/>
    </row>
    <row r="35" spans="2:8" ht="15.95" customHeight="1" x14ac:dyDescent="0.25">
      <c r="B35" s="69"/>
      <c r="C35" s="69"/>
      <c r="D35" s="69"/>
      <c r="E35" s="69"/>
      <c r="F35" s="69"/>
      <c r="G35" s="69"/>
      <c r="H35" s="69"/>
    </row>
    <row r="36" spans="2:8" ht="15.95" customHeight="1" x14ac:dyDescent="0.25">
      <c r="B36" s="69"/>
      <c r="C36" s="69"/>
      <c r="D36" s="69"/>
      <c r="E36" s="69"/>
      <c r="F36" s="69"/>
      <c r="G36" s="69"/>
      <c r="H36" s="69"/>
    </row>
    <row r="37" spans="2:8" ht="15.95" customHeight="1" x14ac:dyDescent="0.25">
      <c r="B37" s="69"/>
      <c r="C37" s="69"/>
      <c r="D37" s="69"/>
      <c r="E37" s="69"/>
      <c r="F37" s="69"/>
      <c r="G37" s="69"/>
      <c r="H37" s="69"/>
    </row>
    <row r="38" spans="2:8" ht="15.95" customHeight="1" x14ac:dyDescent="0.25">
      <c r="B38" s="69"/>
      <c r="C38" s="69"/>
      <c r="D38" s="69"/>
      <c r="E38" s="69"/>
      <c r="F38" s="69"/>
      <c r="G38" s="69"/>
      <c r="H38" s="69"/>
    </row>
    <row r="40" spans="2:8" ht="26.1" customHeight="1" x14ac:dyDescent="0.25">
      <c r="B40" s="71" t="s">
        <v>1098</v>
      </c>
      <c r="C40" s="72"/>
      <c r="D40" s="72"/>
      <c r="E40" s="72"/>
      <c r="F40" s="72"/>
      <c r="G40" s="72"/>
      <c r="H40" s="72"/>
    </row>
    <row r="41" spans="2:8" ht="15.95" customHeight="1" x14ac:dyDescent="0.25">
      <c r="B41" s="70" t="s">
        <v>1097</v>
      </c>
      <c r="C41" s="69"/>
      <c r="D41" s="69"/>
      <c r="E41" s="69"/>
      <c r="F41" s="69"/>
      <c r="G41" s="69"/>
      <c r="H41" s="69"/>
    </row>
    <row r="42" spans="2:8" ht="15.95" customHeight="1" x14ac:dyDescent="0.25">
      <c r="B42" s="69"/>
      <c r="C42" s="69"/>
      <c r="D42" s="69"/>
      <c r="E42" s="69"/>
      <c r="F42" s="69"/>
      <c r="G42" s="69"/>
      <c r="H42" s="69"/>
    </row>
    <row r="43" spans="2:8" ht="15.95" customHeight="1" x14ac:dyDescent="0.25">
      <c r="B43" s="69"/>
      <c r="C43" s="69"/>
      <c r="D43" s="69"/>
      <c r="E43" s="69"/>
      <c r="F43" s="69"/>
      <c r="G43" s="69"/>
      <c r="H43" s="69"/>
    </row>
    <row r="44" spans="2:8" ht="15.95" customHeight="1" x14ac:dyDescent="0.25">
      <c r="B44" s="69"/>
      <c r="C44" s="69"/>
      <c r="D44" s="69"/>
      <c r="E44" s="69"/>
      <c r="F44" s="69"/>
      <c r="G44" s="69"/>
      <c r="H44" s="69"/>
    </row>
    <row r="46" spans="2:8" ht="15.95" customHeight="1" x14ac:dyDescent="0.25">
      <c r="B46" s="70" t="s">
        <v>1096</v>
      </c>
      <c r="C46" s="69"/>
      <c r="D46" s="69"/>
      <c r="E46" s="69"/>
      <c r="F46" s="69"/>
      <c r="G46" s="69"/>
      <c r="H46" s="69"/>
    </row>
    <row r="47" spans="2:8" ht="15.95" customHeight="1" x14ac:dyDescent="0.25">
      <c r="B47" s="69"/>
      <c r="C47" s="69"/>
      <c r="D47" s="69"/>
      <c r="E47" s="69"/>
      <c r="F47" s="69"/>
      <c r="G47" s="69"/>
      <c r="H47" s="69"/>
    </row>
    <row r="48" spans="2:8" ht="15.95" customHeight="1" x14ac:dyDescent="0.25">
      <c r="B48" s="69"/>
      <c r="C48" s="69"/>
      <c r="D48" s="69"/>
      <c r="E48" s="69"/>
      <c r="F48" s="69"/>
      <c r="G48" s="69"/>
      <c r="H48" s="69"/>
    </row>
    <row r="49" spans="2:8" ht="15.95" customHeight="1" x14ac:dyDescent="0.25">
      <c r="B49" s="69"/>
      <c r="C49" s="69"/>
      <c r="D49" s="69"/>
      <c r="E49" s="69"/>
      <c r="F49" s="69"/>
      <c r="G49" s="69"/>
      <c r="H49" s="69"/>
    </row>
    <row r="51" spans="2:8" ht="15.95" customHeight="1" x14ac:dyDescent="0.25">
      <c r="B51" s="70" t="s">
        <v>1095</v>
      </c>
      <c r="C51" s="69"/>
      <c r="D51" s="69"/>
      <c r="E51" s="69"/>
      <c r="F51" s="69"/>
      <c r="G51" s="69"/>
      <c r="H51" s="69"/>
    </row>
    <row r="52" spans="2:8" ht="15.95" customHeight="1" x14ac:dyDescent="0.25">
      <c r="B52" s="69"/>
      <c r="C52" s="69"/>
      <c r="D52" s="69"/>
      <c r="E52" s="69"/>
      <c r="F52" s="69"/>
      <c r="G52" s="69"/>
      <c r="H52" s="69"/>
    </row>
    <row r="53" spans="2:8" ht="15.95" customHeight="1" x14ac:dyDescent="0.25">
      <c r="B53" s="69"/>
      <c r="C53" s="69"/>
      <c r="D53" s="69"/>
      <c r="E53" s="69"/>
      <c r="F53" s="69"/>
      <c r="G53" s="69"/>
      <c r="H53" s="69"/>
    </row>
    <row r="54" spans="2:8" ht="15.95" customHeight="1" x14ac:dyDescent="0.25">
      <c r="B54" s="69"/>
      <c r="C54" s="69"/>
      <c r="D54" s="69"/>
      <c r="E54" s="69"/>
      <c r="F54" s="69"/>
      <c r="G54" s="69"/>
      <c r="H54" s="69"/>
    </row>
    <row r="56" spans="2:8" ht="15.95" customHeight="1" x14ac:dyDescent="0.25">
      <c r="B56" s="70" t="s">
        <v>1094</v>
      </c>
      <c r="C56" s="69"/>
      <c r="D56" s="69"/>
      <c r="E56" s="69"/>
      <c r="F56" s="69"/>
      <c r="G56" s="69"/>
      <c r="H56" s="69"/>
    </row>
    <row r="57" spans="2:8" ht="15.95" customHeight="1" x14ac:dyDescent="0.25">
      <c r="B57" s="69"/>
      <c r="C57" s="69"/>
      <c r="D57" s="69"/>
      <c r="E57" s="69"/>
      <c r="F57" s="69"/>
      <c r="G57" s="69"/>
      <c r="H57" s="69"/>
    </row>
    <row r="58" spans="2:8" ht="15.95" customHeight="1" x14ac:dyDescent="0.25">
      <c r="B58" s="69"/>
      <c r="C58" s="69"/>
      <c r="D58" s="69"/>
      <c r="E58" s="69"/>
      <c r="F58" s="69"/>
      <c r="G58" s="69"/>
      <c r="H58" s="69"/>
    </row>
    <row r="59" spans="2:8" ht="15.95" customHeight="1" x14ac:dyDescent="0.25">
      <c r="B59" s="69"/>
      <c r="C59" s="69"/>
      <c r="D59" s="69"/>
      <c r="E59" s="69"/>
      <c r="F59" s="69"/>
      <c r="G59" s="69"/>
      <c r="H59" s="69"/>
    </row>
    <row r="61" spans="2:8" ht="26.1" customHeight="1" x14ac:dyDescent="0.25">
      <c r="B61" s="71" t="s">
        <v>1093</v>
      </c>
      <c r="C61" s="72"/>
      <c r="D61" s="72"/>
      <c r="E61" s="72"/>
      <c r="F61" s="72"/>
      <c r="G61" s="72"/>
      <c r="H61" s="72"/>
    </row>
    <row r="62" spans="2:8" ht="18" customHeight="1" x14ac:dyDescent="0.25">
      <c r="B62" s="68" t="s">
        <v>1092</v>
      </c>
      <c r="C62" s="69"/>
      <c r="D62" s="69"/>
      <c r="E62" s="69"/>
      <c r="F62" s="69"/>
      <c r="G62" s="69"/>
      <c r="H62" s="69"/>
    </row>
    <row r="63" spans="2:8" ht="15.95" customHeight="1" x14ac:dyDescent="0.25">
      <c r="B63" s="70" t="s">
        <v>1091</v>
      </c>
      <c r="C63" s="69"/>
      <c r="D63" s="69"/>
      <c r="E63" s="69"/>
      <c r="F63" s="69"/>
      <c r="G63" s="69"/>
      <c r="H63" s="69"/>
    </row>
    <row r="64" spans="2:8" ht="15.95" customHeight="1" x14ac:dyDescent="0.25">
      <c r="B64" s="69"/>
      <c r="C64" s="69"/>
      <c r="D64" s="69"/>
      <c r="E64" s="69"/>
      <c r="F64" s="69"/>
      <c r="G64" s="69"/>
      <c r="H64" s="69"/>
    </row>
    <row r="65" spans="2:8" ht="15.95" customHeight="1" x14ac:dyDescent="0.25">
      <c r="B65" s="69"/>
      <c r="C65" s="69"/>
      <c r="D65" s="69"/>
      <c r="E65" s="69"/>
      <c r="F65" s="69"/>
      <c r="G65" s="69"/>
      <c r="H65" s="69"/>
    </row>
    <row r="66" spans="2:8" ht="15.95" customHeight="1" x14ac:dyDescent="0.25">
      <c r="B66" s="69"/>
      <c r="C66" s="69"/>
      <c r="D66" s="69"/>
      <c r="E66" s="69"/>
      <c r="F66" s="69"/>
      <c r="G66" s="69"/>
      <c r="H66" s="69"/>
    </row>
    <row r="67" spans="2:8" ht="15.95" customHeight="1" x14ac:dyDescent="0.25">
      <c r="B67" s="69"/>
      <c r="C67" s="69"/>
      <c r="D67" s="69"/>
      <c r="E67" s="69"/>
      <c r="F67" s="69"/>
      <c r="G67" s="69"/>
      <c r="H67" s="69"/>
    </row>
    <row r="68" spans="2:8" ht="18" customHeight="1" x14ac:dyDescent="0.25">
      <c r="B68" s="68" t="s">
        <v>1090</v>
      </c>
      <c r="C68" s="69"/>
      <c r="D68" s="69"/>
      <c r="E68" s="69"/>
      <c r="F68" s="69"/>
      <c r="G68" s="69"/>
      <c r="H68" s="69"/>
    </row>
    <row r="69" spans="2:8" ht="15.95" customHeight="1" x14ac:dyDescent="0.25">
      <c r="B69" s="70" t="s">
        <v>1089</v>
      </c>
      <c r="C69" s="69"/>
      <c r="D69" s="69"/>
      <c r="E69" s="69"/>
      <c r="F69" s="69"/>
      <c r="G69" s="69"/>
      <c r="H69" s="69"/>
    </row>
    <row r="70" spans="2:8" ht="15.95" customHeight="1" x14ac:dyDescent="0.25">
      <c r="B70" s="69"/>
      <c r="C70" s="69"/>
      <c r="D70" s="69"/>
      <c r="E70" s="69"/>
      <c r="F70" s="69"/>
      <c r="G70" s="69"/>
      <c r="H70" s="69"/>
    </row>
    <row r="71" spans="2:8" ht="15.95" customHeight="1" x14ac:dyDescent="0.25">
      <c r="B71" s="69"/>
      <c r="C71" s="69"/>
      <c r="D71" s="69"/>
      <c r="E71" s="69"/>
      <c r="F71" s="69"/>
      <c r="G71" s="69"/>
      <c r="H71" s="69"/>
    </row>
    <row r="72" spans="2:8" ht="15.95" customHeight="1" x14ac:dyDescent="0.25">
      <c r="B72" s="69"/>
      <c r="C72" s="69"/>
      <c r="D72" s="69"/>
      <c r="E72" s="69"/>
      <c r="F72" s="69"/>
      <c r="G72" s="69"/>
      <c r="H72" s="69"/>
    </row>
    <row r="73" spans="2:8" ht="15.95" customHeight="1" x14ac:dyDescent="0.25">
      <c r="B73" s="69"/>
      <c r="C73" s="69"/>
      <c r="D73" s="69"/>
      <c r="E73" s="69"/>
      <c r="F73" s="69"/>
      <c r="G73" s="69"/>
      <c r="H73" s="69"/>
    </row>
    <row r="74" spans="2:8" ht="18" customHeight="1" x14ac:dyDescent="0.25">
      <c r="B74" s="68" t="s">
        <v>1088</v>
      </c>
      <c r="C74" s="69"/>
      <c r="D74" s="69"/>
      <c r="E74" s="69"/>
      <c r="F74" s="69"/>
      <c r="G74" s="69"/>
      <c r="H74" s="69"/>
    </row>
    <row r="75" spans="2:8" ht="15.95" customHeight="1" x14ac:dyDescent="0.25">
      <c r="B75" s="70" t="s">
        <v>1087</v>
      </c>
      <c r="C75" s="69"/>
      <c r="D75" s="69"/>
      <c r="E75" s="69"/>
      <c r="F75" s="69"/>
      <c r="G75" s="69"/>
      <c r="H75" s="69"/>
    </row>
    <row r="76" spans="2:8" ht="15.95" customHeight="1" x14ac:dyDescent="0.25">
      <c r="B76" s="69"/>
      <c r="C76" s="69"/>
      <c r="D76" s="69"/>
      <c r="E76" s="69"/>
      <c r="F76" s="69"/>
      <c r="G76" s="69"/>
      <c r="H76" s="69"/>
    </row>
    <row r="77" spans="2:8" ht="15.95" customHeight="1" x14ac:dyDescent="0.25">
      <c r="B77" s="69"/>
      <c r="C77" s="69"/>
      <c r="D77" s="69"/>
      <c r="E77" s="69"/>
      <c r="F77" s="69"/>
      <c r="G77" s="69"/>
      <c r="H77" s="69"/>
    </row>
    <row r="78" spans="2:8" ht="15.95" customHeight="1" x14ac:dyDescent="0.25">
      <c r="B78" s="69"/>
      <c r="C78" s="69"/>
      <c r="D78" s="69"/>
      <c r="E78" s="69"/>
      <c r="F78" s="69"/>
      <c r="G78" s="69"/>
      <c r="H78" s="69"/>
    </row>
    <row r="79" spans="2:8" ht="15.95" customHeight="1" x14ac:dyDescent="0.25">
      <c r="B79" s="69"/>
      <c r="C79" s="69"/>
      <c r="D79" s="69"/>
      <c r="E79" s="69"/>
      <c r="F79" s="69"/>
      <c r="G79" s="69"/>
      <c r="H79" s="69"/>
    </row>
    <row r="80" spans="2:8" ht="18" customHeight="1" x14ac:dyDescent="0.25">
      <c r="B80" s="68" t="s">
        <v>1086</v>
      </c>
      <c r="C80" s="69"/>
      <c r="D80" s="69"/>
      <c r="E80" s="69"/>
      <c r="F80" s="69"/>
      <c r="G80" s="69"/>
      <c r="H80" s="69"/>
    </row>
    <row r="81" spans="2:8" ht="15.95" customHeight="1" x14ac:dyDescent="0.25">
      <c r="B81" s="70" t="s">
        <v>1085</v>
      </c>
      <c r="C81" s="69"/>
      <c r="D81" s="69"/>
      <c r="E81" s="69"/>
      <c r="F81" s="69"/>
      <c r="G81" s="69"/>
      <c r="H81" s="69"/>
    </row>
    <row r="82" spans="2:8" ht="15.95" customHeight="1" x14ac:dyDescent="0.25">
      <c r="B82" s="69"/>
      <c r="C82" s="69"/>
      <c r="D82" s="69"/>
      <c r="E82" s="69"/>
      <c r="F82" s="69"/>
      <c r="G82" s="69"/>
      <c r="H82" s="69"/>
    </row>
    <row r="83" spans="2:8" ht="15.95" customHeight="1" x14ac:dyDescent="0.25">
      <c r="B83" s="69"/>
      <c r="C83" s="69"/>
      <c r="D83" s="69"/>
      <c r="E83" s="69"/>
      <c r="F83" s="69"/>
      <c r="G83" s="69"/>
      <c r="H83" s="69"/>
    </row>
    <row r="84" spans="2:8" ht="15.95" customHeight="1" x14ac:dyDescent="0.25">
      <c r="B84" s="69"/>
      <c r="C84" s="69"/>
      <c r="D84" s="69"/>
      <c r="E84" s="69"/>
      <c r="F84" s="69"/>
      <c r="G84" s="69"/>
      <c r="H84" s="69"/>
    </row>
    <row r="85" spans="2:8" ht="15.95" customHeight="1" x14ac:dyDescent="0.25">
      <c r="B85" s="69"/>
      <c r="C85" s="69"/>
      <c r="D85" s="69"/>
      <c r="E85" s="69"/>
      <c r="F85" s="69"/>
      <c r="G85" s="69"/>
      <c r="H85" s="69"/>
    </row>
    <row r="86" spans="2:8" ht="15.95" customHeight="1" x14ac:dyDescent="0.25">
      <c r="B86" s="69"/>
      <c r="C86" s="69"/>
      <c r="D86" s="69"/>
      <c r="E86" s="69"/>
      <c r="F86" s="69"/>
      <c r="G86" s="69"/>
      <c r="H86" s="69"/>
    </row>
    <row r="88" spans="2:8" ht="26.1" customHeight="1" x14ac:dyDescent="0.25">
      <c r="B88" s="71" t="s">
        <v>1084</v>
      </c>
      <c r="C88" s="72"/>
      <c r="D88" s="72"/>
      <c r="E88" s="72"/>
      <c r="F88" s="72"/>
      <c r="G88" s="72"/>
      <c r="H88" s="72"/>
    </row>
    <row r="89" spans="2:8" ht="15.95" customHeight="1" x14ac:dyDescent="0.25">
      <c r="B89" s="70" t="s">
        <v>1083</v>
      </c>
      <c r="C89" s="69"/>
      <c r="D89" s="69"/>
      <c r="E89" s="69"/>
      <c r="F89" s="69"/>
      <c r="G89" s="69"/>
      <c r="H89" s="69"/>
    </row>
    <row r="90" spans="2:8" ht="15.95" customHeight="1" x14ac:dyDescent="0.25">
      <c r="B90" s="69"/>
      <c r="C90" s="69"/>
      <c r="D90" s="69"/>
      <c r="E90" s="69"/>
      <c r="F90" s="69"/>
      <c r="G90" s="69"/>
      <c r="H90" s="69"/>
    </row>
    <row r="91" spans="2:8" ht="15.95" customHeight="1" x14ac:dyDescent="0.25">
      <c r="B91" s="69"/>
      <c r="C91" s="69"/>
      <c r="D91" s="69"/>
      <c r="E91" s="69"/>
      <c r="F91" s="69"/>
      <c r="G91" s="69"/>
      <c r="H91" s="69"/>
    </row>
    <row r="92" spans="2:8" ht="15.95" customHeight="1" x14ac:dyDescent="0.25">
      <c r="B92" s="69"/>
      <c r="C92" s="69"/>
      <c r="D92" s="69"/>
      <c r="E92" s="69"/>
      <c r="F92" s="69"/>
      <c r="G92" s="69"/>
      <c r="H92" s="69"/>
    </row>
    <row r="93" spans="2:8" ht="15.95" customHeight="1" x14ac:dyDescent="0.25">
      <c r="B93" s="69"/>
      <c r="C93" s="69"/>
      <c r="D93" s="69"/>
      <c r="E93" s="69"/>
      <c r="F93" s="69"/>
      <c r="G93" s="69"/>
      <c r="H93" s="69"/>
    </row>
    <row r="94" spans="2:8" ht="15.95" customHeight="1" x14ac:dyDescent="0.25">
      <c r="B94" s="69"/>
      <c r="C94" s="69"/>
      <c r="D94" s="69"/>
      <c r="E94" s="69"/>
      <c r="F94" s="69"/>
      <c r="G94" s="69"/>
      <c r="H94" s="69"/>
    </row>
    <row r="95" spans="2:8" ht="15.95" customHeight="1" x14ac:dyDescent="0.25">
      <c r="B95" s="69"/>
      <c r="C95" s="69"/>
      <c r="D95" s="69"/>
      <c r="E95" s="69"/>
      <c r="F95" s="69"/>
      <c r="G95" s="69"/>
      <c r="H95" s="69"/>
    </row>
    <row r="96" spans="2:8" ht="15.95" customHeight="1" x14ac:dyDescent="0.25">
      <c r="B96" s="69"/>
      <c r="C96" s="69"/>
      <c r="D96" s="69"/>
      <c r="E96" s="69"/>
      <c r="F96" s="69"/>
      <c r="G96" s="69"/>
      <c r="H96" s="69"/>
    </row>
    <row r="97" spans="2:8" ht="15.95" customHeight="1" x14ac:dyDescent="0.25">
      <c r="B97" s="69"/>
      <c r="C97" s="69"/>
      <c r="D97" s="69"/>
      <c r="E97" s="69"/>
      <c r="F97" s="69"/>
      <c r="G97" s="69"/>
      <c r="H97" s="69"/>
    </row>
    <row r="98" spans="2:8" ht="15.95" customHeight="1" x14ac:dyDescent="0.25">
      <c r="B98" s="69"/>
      <c r="C98" s="69"/>
      <c r="D98" s="69"/>
      <c r="E98" s="69"/>
      <c r="F98" s="69"/>
      <c r="G98" s="69"/>
      <c r="H98" s="69"/>
    </row>
  </sheetData>
  <mergeCells count="24">
    <mergeCell ref="B6:H6"/>
    <mergeCell ref="B30:H30"/>
    <mergeCell ref="B2:H3"/>
    <mergeCell ref="B46:H49"/>
    <mergeCell ref="B80:H80"/>
    <mergeCell ref="B20:H20"/>
    <mergeCell ref="B7:H18"/>
    <mergeCell ref="B31:H38"/>
    <mergeCell ref="B63:H67"/>
    <mergeCell ref="B4:H4"/>
    <mergeCell ref="B89:H98"/>
    <mergeCell ref="B41:H44"/>
    <mergeCell ref="B51:H54"/>
    <mergeCell ref="B40:H40"/>
    <mergeCell ref="B74:H74"/>
    <mergeCell ref="B68:H68"/>
    <mergeCell ref="B56:H59"/>
    <mergeCell ref="B81:H86"/>
    <mergeCell ref="B88:H88"/>
    <mergeCell ref="B21:H28"/>
    <mergeCell ref="B62:H62"/>
    <mergeCell ref="B75:H79"/>
    <mergeCell ref="B61:H61"/>
    <mergeCell ref="B69:H7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43AD9-A868-498A-874A-F1A9D99ECB54}">
  <dimension ref="A1:O28"/>
  <sheetViews>
    <sheetView showGridLines="0" zoomScale="90" zoomScaleNormal="90" workbookViewId="0">
      <selection activeCell="C1" sqref="C1"/>
    </sheetView>
  </sheetViews>
  <sheetFormatPr defaultRowHeight="15" x14ac:dyDescent="0.25"/>
  <cols>
    <col min="3" max="3" width="18.7109375" customWidth="1"/>
    <col min="7" max="7" width="18.7109375" customWidth="1"/>
    <col min="11" max="11" width="18.7109375" customWidth="1"/>
    <col min="15" max="15" width="18.7109375" customWidth="1"/>
  </cols>
  <sheetData>
    <row r="1" spans="1:15" ht="15.75" thickBot="1" x14ac:dyDescent="0.3"/>
    <row r="2" spans="1:15" ht="15.75" x14ac:dyDescent="0.3">
      <c r="B2" s="58" t="s">
        <v>1059</v>
      </c>
      <c r="C2" s="59"/>
      <c r="D2" s="18"/>
      <c r="F2" s="58" t="s">
        <v>1060</v>
      </c>
      <c r="G2" s="59"/>
      <c r="J2" s="66" t="s">
        <v>1081</v>
      </c>
      <c r="K2" s="67"/>
      <c r="N2" s="58" t="s">
        <v>1078</v>
      </c>
      <c r="O2" s="59"/>
    </row>
    <row r="3" spans="1:15" ht="36.75" thickBot="1" x14ac:dyDescent="0.6">
      <c r="A3" s="17"/>
      <c r="B3" s="62">
        <f>Analysis_WorkingData!B4</f>
        <v>25799.450000000143</v>
      </c>
      <c r="C3" s="63"/>
      <c r="D3" s="18"/>
      <c r="F3" s="64">
        <f>Analysis_WorkingData!B5</f>
        <v>1000</v>
      </c>
      <c r="G3" s="65"/>
      <c r="J3" s="62">
        <f>Analysis_WorkingData!B6</f>
        <v>25.799450000000142</v>
      </c>
      <c r="K3" s="63"/>
      <c r="N3" s="60">
        <f>Analysis_WorkingData!B7</f>
        <v>3.9180000000000001</v>
      </c>
      <c r="O3" s="61"/>
    </row>
    <row r="4" spans="1:15" x14ac:dyDescent="0.25">
      <c r="B4" s="19"/>
    </row>
    <row r="28" spans="10:10" x14ac:dyDescent="0.25">
      <c r="J28" s="3"/>
    </row>
  </sheetData>
  <mergeCells count="8">
    <mergeCell ref="N2:O2"/>
    <mergeCell ref="N3:O3"/>
    <mergeCell ref="B2:C2"/>
    <mergeCell ref="B3:C3"/>
    <mergeCell ref="F2:G2"/>
    <mergeCell ref="F3:G3"/>
    <mergeCell ref="J2:K2"/>
    <mergeCell ref="J3:K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1E385-8A7A-44D1-916F-65A4767962DF}">
  <dimension ref="A1:P38"/>
  <sheetViews>
    <sheetView zoomScale="90" zoomScaleNormal="90" workbookViewId="0">
      <selection activeCell="A2" sqref="A2:B2"/>
    </sheetView>
  </sheetViews>
  <sheetFormatPr defaultRowHeight="15" x14ac:dyDescent="0.25"/>
  <cols>
    <col min="1" max="1" width="28.5703125" bestFit="1" customWidth="1"/>
    <col min="2" max="2" width="14" bestFit="1" customWidth="1"/>
    <col min="3" max="3" width="6.5703125" customWidth="1"/>
    <col min="4" max="4" width="26.5703125" bestFit="1" customWidth="1"/>
    <col min="5" max="5" width="19.85546875" style="48" bestFit="1" customWidth="1"/>
    <col min="6" max="6" width="17" bestFit="1" customWidth="1"/>
    <col min="7" max="7" width="28.140625" customWidth="1"/>
    <col min="9" max="9" width="18.42578125" bestFit="1" customWidth="1"/>
    <col min="10" max="10" width="19.85546875" style="48" bestFit="1" customWidth="1"/>
    <col min="11" max="11" width="22.28515625" bestFit="1" customWidth="1"/>
    <col min="12" max="12" width="22.28515625" customWidth="1"/>
    <col min="13" max="13" width="4.7109375" customWidth="1"/>
    <col min="14" max="14" width="19.28515625" bestFit="1" customWidth="1"/>
    <col min="15" max="15" width="19.85546875" style="48" bestFit="1" customWidth="1"/>
    <col min="16" max="16" width="17" bestFit="1" customWidth="1"/>
    <col min="17" max="17" width="14.140625" bestFit="1" customWidth="1"/>
  </cols>
  <sheetData>
    <row r="1" spans="1:16" x14ac:dyDescent="0.25">
      <c r="A1" s="77"/>
      <c r="B1" s="77"/>
    </row>
    <row r="2" spans="1:16" ht="18.75" x14ac:dyDescent="0.4">
      <c r="A2" s="78" t="s">
        <v>1057</v>
      </c>
      <c r="B2" s="78"/>
    </row>
    <row r="3" spans="1:16" ht="15.75" thickBot="1" x14ac:dyDescent="0.3">
      <c r="A3" s="4" t="s">
        <v>1058</v>
      </c>
      <c r="B3" s="5" t="s">
        <v>1052</v>
      </c>
      <c r="D3" s="23" t="s">
        <v>2</v>
      </c>
      <c r="E3" s="49" t="s">
        <v>1059</v>
      </c>
      <c r="F3" s="24" t="s">
        <v>1063</v>
      </c>
      <c r="G3" s="25" t="s">
        <v>1062</v>
      </c>
      <c r="I3" s="23" t="s">
        <v>4</v>
      </c>
      <c r="J3" s="49" t="s">
        <v>1059</v>
      </c>
      <c r="K3" s="25" t="s">
        <v>1063</v>
      </c>
      <c r="L3" s="26" t="s">
        <v>1082</v>
      </c>
      <c r="N3" s="79" t="s">
        <v>1077</v>
      </c>
      <c r="O3" s="80"/>
      <c r="P3" s="80"/>
    </row>
    <row r="4" spans="1:16" x14ac:dyDescent="0.25">
      <c r="A4" s="6" t="s">
        <v>1059</v>
      </c>
      <c r="B4" s="7">
        <f>SUM(tbl_RawSales[Order Total])</f>
        <v>25799.450000000143</v>
      </c>
      <c r="D4" s="21" t="s">
        <v>32</v>
      </c>
      <c r="E4" s="50">
        <f>SUMIFS(tbl_RawSales[Order Total],tbl_RawSales[Restaurant Location],D4)</f>
        <v>3675.4999999999936</v>
      </c>
      <c r="F4" s="14">
        <f>COUNTIFS(tbl_RawSales[Restaurant Location], D4)</f>
        <v>138</v>
      </c>
      <c r="G4" s="15">
        <f>AVERAGEIFS(tbl_RawSales[Customer Rating], tbl_RawSales[Restaurant Location],D4)</f>
        <v>3.9202898550724639</v>
      </c>
      <c r="I4" s="21" t="s">
        <v>46</v>
      </c>
      <c r="J4" s="50">
        <f>SUMIFS(tbl_RawSales[Order Total],tbl_RawSales[Menu Item],I4)</f>
        <v>3496.9399999999973</v>
      </c>
      <c r="K4" s="16">
        <f>COUNTIFS(tbl_RawSales[Menu Item],I4)</f>
        <v>56</v>
      </c>
      <c r="L4" s="16">
        <f>SUMIFS(tbl_RawSales[Quantity],tbl_RawSales[Menu Item],I4)</f>
        <v>106</v>
      </c>
      <c r="N4" s="23" t="s">
        <v>4</v>
      </c>
      <c r="O4" s="49" t="s">
        <v>1059</v>
      </c>
      <c r="P4" s="25" t="s">
        <v>1063</v>
      </c>
    </row>
    <row r="5" spans="1:16" x14ac:dyDescent="0.25">
      <c r="A5" s="8" t="s">
        <v>1060</v>
      </c>
      <c r="B5" s="9">
        <f>COUNTA(tbl_RawSales[Transaction ID])</f>
        <v>1000</v>
      </c>
      <c r="D5" s="22" t="s">
        <v>11</v>
      </c>
      <c r="E5" s="53">
        <f>SUMIFS(tbl_RawSales[Order Total],tbl_RawSales[Restaurant Location],D5)</f>
        <v>3093.4999999999964</v>
      </c>
      <c r="F5" s="14">
        <f>COUNTIFS(tbl_RawSales[Restaurant Location], D5)</f>
        <v>117</v>
      </c>
      <c r="G5" s="15">
        <f>AVERAGEIFS(tbl_RawSales[Customer Rating], tbl_RawSales[Restaurant Location],D5)</f>
        <v>3.7435897435897436</v>
      </c>
      <c r="I5" s="22" t="s">
        <v>50</v>
      </c>
      <c r="J5" s="50">
        <f>SUMIFS(tbl_RawSales[Order Total],tbl_RawSales[Menu Item],I5)</f>
        <v>2597.8699999999985</v>
      </c>
      <c r="K5" s="16">
        <f>COUNTIFS(tbl_RawSales[Menu Item],I5)</f>
        <v>62</v>
      </c>
      <c r="L5" s="16">
        <f>SUMIFS(tbl_RawSales[Quantity],tbl_RawSales[Menu Item],I5)</f>
        <v>113</v>
      </c>
      <c r="N5" s="21" t="s">
        <v>46</v>
      </c>
      <c r="O5" s="50">
        <f>SUMIFS(tbl_RawSales[Order Total],tbl_RawSales[Menu Item],N5)</f>
        <v>3496.9399999999973</v>
      </c>
      <c r="P5" s="16">
        <f>COUNTIFS(tbl_RawSales[Menu Item],N5)</f>
        <v>56</v>
      </c>
    </row>
    <row r="6" spans="1:16" x14ac:dyDescent="0.25">
      <c r="A6" s="10" t="s">
        <v>1079</v>
      </c>
      <c r="B6" s="11">
        <f>AVERAGE(tbl_RawSales[Order Total])</f>
        <v>25.799450000000142</v>
      </c>
      <c r="D6" s="21" t="s">
        <v>28</v>
      </c>
      <c r="E6" s="50">
        <f>SUMIFS(tbl_RawSales[Order Total],tbl_RawSales[Restaurant Location],D6)</f>
        <v>2712.5999999999976</v>
      </c>
      <c r="F6" s="14">
        <f>COUNTIFS(tbl_RawSales[Restaurant Location], D6)</f>
        <v>114</v>
      </c>
      <c r="G6" s="15">
        <f>AVERAGEIFS(tbl_RawSales[Customer Rating], tbl_RawSales[Restaurant Location],D6)</f>
        <v>3.8421052631578947</v>
      </c>
      <c r="I6" s="21" t="s">
        <v>39</v>
      </c>
      <c r="J6" s="50">
        <f>SUMIFS(tbl_RawSales[Order Total],tbl_RawSales[Menu Item],I6)</f>
        <v>2424.0299999999993</v>
      </c>
      <c r="K6" s="16">
        <f>COUNTIFS(tbl_RawSales[Menu Item],I6)</f>
        <v>60</v>
      </c>
      <c r="L6" s="16">
        <f>SUMIFS(tbl_RawSales[Quantity],tbl_RawSales[Menu Item],I6)</f>
        <v>97</v>
      </c>
      <c r="N6" s="22" t="s">
        <v>50</v>
      </c>
      <c r="O6" s="50">
        <f>SUMIFS(tbl_RawSales[Order Total],tbl_RawSales[Menu Item],N6)</f>
        <v>2597.8699999999985</v>
      </c>
      <c r="P6" s="16">
        <f>COUNTIFS(tbl_RawSales[Menu Item],N6)</f>
        <v>62</v>
      </c>
    </row>
    <row r="7" spans="1:16" x14ac:dyDescent="0.25">
      <c r="A7" s="12" t="s">
        <v>1078</v>
      </c>
      <c r="B7" s="13">
        <f>AVERAGE(tbl_RawSales[Customer Rating])</f>
        <v>3.9180000000000001</v>
      </c>
      <c r="D7" s="22" t="s">
        <v>25</v>
      </c>
      <c r="E7" s="53">
        <f>SUMIFS(tbl_RawSales[Order Total],tbl_RawSales[Restaurant Location],D7)</f>
        <v>2612.2899999999972</v>
      </c>
      <c r="F7" s="14">
        <f>COUNTIFS(tbl_RawSales[Restaurant Location], D7)</f>
        <v>90</v>
      </c>
      <c r="G7" s="15">
        <f>AVERAGEIFS(tbl_RawSales[Customer Rating], tbl_RawSales[Restaurant Location],D7)</f>
        <v>4.0666666666666664</v>
      </c>
      <c r="I7" s="22" t="s">
        <v>13</v>
      </c>
      <c r="J7" s="50">
        <f>SUMIFS(tbl_RawSales[Order Total],tbl_RawSales[Menu Item],I7)</f>
        <v>2354.7599999999993</v>
      </c>
      <c r="K7" s="16">
        <f>COUNTIFS(tbl_RawSales[Menu Item],I7)</f>
        <v>71</v>
      </c>
      <c r="L7" s="16">
        <f>SUMIFS(tbl_RawSales[Quantity],tbl_RawSales[Menu Item],I7)</f>
        <v>124</v>
      </c>
      <c r="N7" s="21" t="s">
        <v>39</v>
      </c>
      <c r="O7" s="50">
        <f>SUMIFS(tbl_RawSales[Order Total],tbl_RawSales[Menu Item],N7)</f>
        <v>2424.0299999999993</v>
      </c>
      <c r="P7" s="16">
        <f>COUNTIFS(tbl_RawSales[Menu Item],N7)</f>
        <v>60</v>
      </c>
    </row>
    <row r="8" spans="1:16" x14ac:dyDescent="0.25">
      <c r="D8" s="21" t="s">
        <v>45</v>
      </c>
      <c r="E8" s="50">
        <f>SUMIFS(tbl_RawSales[Order Total],tbl_RawSales[Restaurant Location],D8)</f>
        <v>2468.8599999999979</v>
      </c>
      <c r="F8" s="14">
        <f>COUNTIFS(tbl_RawSales[Restaurant Location], D8)</f>
        <v>100</v>
      </c>
      <c r="G8" s="15">
        <f>AVERAGEIFS(tbl_RawSales[Customer Rating], tbl_RawSales[Restaurant Location],D8)</f>
        <v>3.94</v>
      </c>
      <c r="I8" s="21" t="s">
        <v>36</v>
      </c>
      <c r="J8" s="50">
        <f>SUMIFS(tbl_RawSales[Order Total],tbl_RawSales[Menu Item],I8)</f>
        <v>2072.7800000000007</v>
      </c>
      <c r="K8" s="16">
        <f>COUNTIFS(tbl_RawSales[Menu Item],I8)</f>
        <v>71</v>
      </c>
      <c r="L8" s="16">
        <f>SUMIFS(tbl_RawSales[Quantity],tbl_RawSales[Menu Item],I8)</f>
        <v>122</v>
      </c>
      <c r="N8" s="22" t="s">
        <v>13</v>
      </c>
      <c r="O8" s="50">
        <f>SUMIFS(tbl_RawSales[Order Total],tbl_RawSales[Menu Item],N8)</f>
        <v>2354.7599999999993</v>
      </c>
      <c r="P8" s="16">
        <f>COUNTIFS(tbl_RawSales[Menu Item],N8)</f>
        <v>71</v>
      </c>
    </row>
    <row r="9" spans="1:16" x14ac:dyDescent="0.25">
      <c r="D9" s="22" t="s">
        <v>34</v>
      </c>
      <c r="E9" s="53">
        <f>SUMIFS(tbl_RawSales[Order Total],tbl_RawSales[Restaurant Location],D9)</f>
        <v>2451.8599999999997</v>
      </c>
      <c r="F9" s="14">
        <f>COUNTIFS(tbl_RawSales[Restaurant Location], D9)</f>
        <v>91</v>
      </c>
      <c r="G9" s="15">
        <f>AVERAGEIFS(tbl_RawSales[Customer Rating], tbl_RawSales[Restaurant Location],D9)</f>
        <v>3.8901098901098901</v>
      </c>
      <c r="I9" s="22" t="s">
        <v>83</v>
      </c>
      <c r="J9" s="50">
        <f>SUMIFS(tbl_RawSales[Order Total],tbl_RawSales[Menu Item],I9)</f>
        <v>1709.0500000000006</v>
      </c>
      <c r="K9" s="16">
        <f>COUNTIFS(tbl_RawSales[Menu Item],I9)</f>
        <v>57</v>
      </c>
      <c r="L9" s="16">
        <f>SUMIFS(tbl_RawSales[Quantity],tbl_RawSales[Menu Item],I9)</f>
        <v>95</v>
      </c>
      <c r="N9" s="21" t="s">
        <v>36</v>
      </c>
      <c r="O9" s="50">
        <f>SUMIFS(tbl_RawSales[Order Total],tbl_RawSales[Menu Item],N9)</f>
        <v>2072.7800000000007</v>
      </c>
      <c r="P9" s="16">
        <f>COUNTIFS(tbl_RawSales[Menu Item],N9)</f>
        <v>71</v>
      </c>
    </row>
    <row r="10" spans="1:16" x14ac:dyDescent="0.25">
      <c r="B10" s="2"/>
      <c r="D10" s="21" t="s">
        <v>16</v>
      </c>
      <c r="E10" s="50">
        <f>SUMIFS(tbl_RawSales[Order Total],tbl_RawSales[Restaurant Location],D10)</f>
        <v>2405.2400000000002</v>
      </c>
      <c r="F10" s="14">
        <f>COUNTIFS(tbl_RawSales[Restaurant Location], D10)</f>
        <v>102</v>
      </c>
      <c r="G10" s="15">
        <f>AVERAGEIFS(tbl_RawSales[Customer Rating], tbl_RawSales[Restaurant Location],D10)</f>
        <v>3.9509803921568629</v>
      </c>
      <c r="I10" s="21" t="s">
        <v>57</v>
      </c>
      <c r="J10" s="50">
        <f>SUMIFS(tbl_RawSales[Order Total],tbl_RawSales[Menu Item],I10)</f>
        <v>1391.1300000000006</v>
      </c>
      <c r="K10" s="16">
        <f>COUNTIFS(tbl_RawSales[Menu Item],I10)</f>
        <v>52</v>
      </c>
      <c r="L10" s="16">
        <f>SUMIFS(tbl_RawSales[Quantity],tbl_RawSales[Menu Item],I10)</f>
        <v>87</v>
      </c>
      <c r="N10" s="22" t="s">
        <v>83</v>
      </c>
      <c r="O10" s="50">
        <f>SUMIFS(tbl_RawSales[Order Total],tbl_RawSales[Menu Item],N10)</f>
        <v>1709.0500000000006</v>
      </c>
      <c r="P10" s="16">
        <f>COUNTIFS(tbl_RawSales[Menu Item],N10)</f>
        <v>57</v>
      </c>
    </row>
    <row r="11" spans="1:16" x14ac:dyDescent="0.25">
      <c r="D11" s="22" t="s">
        <v>97</v>
      </c>
      <c r="E11" s="53">
        <f>SUMIFS(tbl_RawSales[Order Total],tbl_RawSales[Restaurant Location],D11)</f>
        <v>2178.0499999999997</v>
      </c>
      <c r="F11" s="14">
        <f>COUNTIFS(tbl_RawSales[Restaurant Location], D11)</f>
        <v>84</v>
      </c>
      <c r="G11" s="15">
        <f>AVERAGEIFS(tbl_RawSales[Customer Rating], tbl_RawSales[Restaurant Location],D11)</f>
        <v>3.9642857142857144</v>
      </c>
      <c r="I11" s="22" t="s">
        <v>74</v>
      </c>
      <c r="J11" s="50">
        <f>SUMIFS(tbl_RawSales[Order Total],tbl_RawSales[Menu Item],I11)</f>
        <v>1079.2800000000004</v>
      </c>
      <c r="K11" s="16">
        <f>COUNTIFS(tbl_RawSales[Menu Item],I11)</f>
        <v>46</v>
      </c>
      <c r="L11" s="16">
        <f>SUMIFS(tbl_RawSales[Quantity],tbl_RawSales[Menu Item],I11)</f>
        <v>72</v>
      </c>
      <c r="N11" s="21" t="s">
        <v>57</v>
      </c>
      <c r="O11" s="50">
        <f>SUMIFS(tbl_RawSales[Order Total],tbl_RawSales[Menu Item],N11)</f>
        <v>1391.1300000000006</v>
      </c>
      <c r="P11" s="16">
        <f>COUNTIFS(tbl_RawSales[Menu Item],N11)</f>
        <v>52</v>
      </c>
    </row>
    <row r="12" spans="1:16" x14ac:dyDescent="0.25">
      <c r="D12" s="21" t="s">
        <v>21</v>
      </c>
      <c r="E12" s="50">
        <f>SUMIFS(tbl_RawSales[Order Total],tbl_RawSales[Restaurant Location],D12)</f>
        <v>2164.3900000000003</v>
      </c>
      <c r="F12" s="14">
        <f>COUNTIFS(tbl_RawSales[Restaurant Location], D12)</f>
        <v>86</v>
      </c>
      <c r="G12" s="15">
        <f>AVERAGEIFS(tbl_RawSales[Customer Rating], tbl_RawSales[Restaurant Location],D12)</f>
        <v>3.8953488372093021</v>
      </c>
      <c r="I12" s="21" t="s">
        <v>142</v>
      </c>
      <c r="J12" s="50">
        <f>SUMIFS(tbl_RawSales[Order Total],tbl_RawSales[Menu Item],I12)</f>
        <v>809.46000000000026</v>
      </c>
      <c r="K12" s="16">
        <f>COUNTIFS(tbl_RawSales[Menu Item],I12)</f>
        <v>33</v>
      </c>
      <c r="L12" s="16">
        <f>SUMIFS(tbl_RawSales[Quantity],tbl_RawSales[Menu Item],I12)</f>
        <v>54</v>
      </c>
      <c r="N12" s="22" t="s">
        <v>74</v>
      </c>
      <c r="O12" s="50">
        <f>SUMIFS(tbl_RawSales[Order Total],tbl_RawSales[Menu Item],N12)</f>
        <v>1079.2800000000004</v>
      </c>
      <c r="P12" s="16">
        <f>COUNTIFS(tbl_RawSales[Menu Item],N12)</f>
        <v>46</v>
      </c>
    </row>
    <row r="13" spans="1:16" x14ac:dyDescent="0.25">
      <c r="D13" s="22" t="s">
        <v>38</v>
      </c>
      <c r="E13" s="57">
        <f>SUMIFS(tbl_RawSales[Order Total],tbl_RawSales[Restaurant Location],D13)</f>
        <v>2037.160000000001</v>
      </c>
      <c r="F13" s="14">
        <f>COUNTIFS(tbl_RawSales[Restaurant Location], D13)</f>
        <v>78</v>
      </c>
      <c r="G13" s="15">
        <f>AVERAGEIFS(tbl_RawSales[Customer Rating], tbl_RawSales[Restaurant Location],D13)</f>
        <v>4.0512820512820511</v>
      </c>
      <c r="I13" s="22" t="s">
        <v>55</v>
      </c>
      <c r="J13" s="50">
        <f>SUMIFS(tbl_RawSales[Order Total],tbl_RawSales[Menu Item],I13)</f>
        <v>780.2900000000003</v>
      </c>
      <c r="K13" s="16">
        <f>COUNTIFS(tbl_RawSales[Menu Item],I13)</f>
        <v>35</v>
      </c>
      <c r="L13" s="16">
        <f>SUMIFS(tbl_RawSales[Quantity],tbl_RawSales[Menu Item],I13)</f>
        <v>71</v>
      </c>
      <c r="N13" s="21" t="s">
        <v>142</v>
      </c>
      <c r="O13" s="50">
        <f>SUMIFS(tbl_RawSales[Order Total],tbl_RawSales[Menu Item],N13)</f>
        <v>809.46000000000026</v>
      </c>
      <c r="P13" s="16">
        <f>COUNTIFS(tbl_RawSales[Menu Item],N13)</f>
        <v>33</v>
      </c>
    </row>
    <row r="14" spans="1:16" x14ac:dyDescent="0.25">
      <c r="D14" s="38" t="s">
        <v>1061</v>
      </c>
      <c r="E14" s="54">
        <f>SUM(E4:E13)</f>
        <v>25799.449999999983</v>
      </c>
      <c r="F14" s="39">
        <f>SUM(F4:F13)</f>
        <v>1000</v>
      </c>
      <c r="G14" s="40">
        <f>AVERAGE(G4:G13)</f>
        <v>3.9264658413530595</v>
      </c>
      <c r="I14" s="21" t="s">
        <v>79</v>
      </c>
      <c r="J14" s="50">
        <f>SUMIFS(tbl_RawSales[Order Total],tbl_RawSales[Menu Item],I14)</f>
        <v>747.32000000000028</v>
      </c>
      <c r="K14" s="16">
        <f>COUNTIFS(tbl_RawSales[Menu Item],I14)</f>
        <v>35</v>
      </c>
      <c r="L14" s="16">
        <f>SUMIFS(tbl_RawSales[Quantity],tbl_RawSales[Menu Item],I14)</f>
        <v>68</v>
      </c>
      <c r="N14" s="22" t="s">
        <v>55</v>
      </c>
      <c r="O14" s="50">
        <f>SUMIFS(tbl_RawSales[Order Total],tbl_RawSales[Menu Item],N14)</f>
        <v>780.2900000000003</v>
      </c>
      <c r="P14" s="16">
        <f>COUNTIFS(tbl_RawSales[Menu Item],N14)</f>
        <v>35</v>
      </c>
    </row>
    <row r="15" spans="1:16" x14ac:dyDescent="0.25">
      <c r="I15" s="22" t="s">
        <v>43</v>
      </c>
      <c r="J15" s="50">
        <f>SUMIFS(tbl_RawSales[Order Total],tbl_RawSales[Menu Item],I15)</f>
        <v>659.45000000000027</v>
      </c>
      <c r="K15" s="16">
        <f>COUNTIFS(tbl_RawSales[Menu Item],I15)</f>
        <v>27</v>
      </c>
      <c r="L15" s="16">
        <f>SUMIFS(tbl_RawSales[Quantity],tbl_RawSales[Menu Item],I15)</f>
        <v>55</v>
      </c>
      <c r="N15" s="46" t="s">
        <v>1080</v>
      </c>
      <c r="O15" s="52">
        <f>SUM(O5:O14)</f>
        <v>18715.589999999997</v>
      </c>
      <c r="P15" s="47">
        <f>SUM(P5:P14)</f>
        <v>543</v>
      </c>
    </row>
    <row r="16" spans="1:16" x14ac:dyDescent="0.25">
      <c r="I16" s="21" t="s">
        <v>22</v>
      </c>
      <c r="J16" s="50">
        <f>SUMIFS(tbl_RawSales[Order Total],tbl_RawSales[Menu Item],I16)</f>
        <v>584.35000000000025</v>
      </c>
      <c r="K16" s="16">
        <f>COUNTIFS(tbl_RawSales[Menu Item],I16)</f>
        <v>39</v>
      </c>
      <c r="L16" s="16">
        <f>SUMIFS(tbl_RawSales[Quantity],tbl_RawSales[Menu Item],I16)</f>
        <v>65</v>
      </c>
    </row>
    <row r="17" spans="4:12" x14ac:dyDescent="0.25">
      <c r="D17" s="23" t="s">
        <v>1064</v>
      </c>
      <c r="E17" s="49" t="s">
        <v>1059</v>
      </c>
      <c r="F17" s="24" t="s">
        <v>1063</v>
      </c>
      <c r="G17" s="25" t="s">
        <v>1062</v>
      </c>
      <c r="I17" s="22" t="s">
        <v>30</v>
      </c>
      <c r="J17" s="50">
        <f>SUMIFS(tbl_RawSales[Order Total],tbl_RawSales[Menu Item],I17)</f>
        <v>551.31000000000029</v>
      </c>
      <c r="K17" s="16">
        <f>COUNTIFS(tbl_RawSales[Menu Item],I17)</f>
        <v>39</v>
      </c>
      <c r="L17" s="16">
        <f>SUMIFS(tbl_RawSales[Quantity],tbl_RawSales[Menu Item],I17)</f>
        <v>69</v>
      </c>
    </row>
    <row r="18" spans="4:12" x14ac:dyDescent="0.25">
      <c r="D18" s="33" t="s">
        <v>23</v>
      </c>
      <c r="E18" s="55">
        <f>SUMIFS(tbl_RawSales[Order Total],tbl_RawSales[Category],D18)</f>
        <v>3872.629999999991</v>
      </c>
      <c r="F18" s="34">
        <f>COUNTIFS(tbl_RawSales[Category],D18)</f>
        <v>190</v>
      </c>
      <c r="G18" s="35">
        <f>AVERAGEIFS(tbl_RawSales[Customer Rating],tbl_RawSales[Category],D18)</f>
        <v>3.9842105263157896</v>
      </c>
      <c r="I18" s="21" t="s">
        <v>18</v>
      </c>
      <c r="J18" s="50">
        <f>SUMIFS(tbl_RawSales[Order Total],tbl_RawSales[Menu Item],I18)</f>
        <v>529.47000000000025</v>
      </c>
      <c r="K18" s="16">
        <f>COUNTIFS(tbl_RawSales[Menu Item],I18)</f>
        <v>27</v>
      </c>
      <c r="L18" s="16">
        <f>SUMIFS(tbl_RawSales[Quantity],tbl_RawSales[Menu Item],I18)</f>
        <v>53</v>
      </c>
    </row>
    <row r="19" spans="4:12" x14ac:dyDescent="0.25">
      <c r="D19" s="22" t="s">
        <v>19</v>
      </c>
      <c r="E19" s="53">
        <f>SUMIFS(tbl_RawSales[Order Total],tbl_RawSales[Category],D19)</f>
        <v>2382.4099999999985</v>
      </c>
      <c r="F19" s="36">
        <f>COUNTIFS(tbl_RawSales[Category],D19)</f>
        <v>198</v>
      </c>
      <c r="G19" s="37">
        <f>AVERAGEIFS(tbl_RawSales[Customer Rating],tbl_RawSales[Category],D19)</f>
        <v>3.9292929292929295</v>
      </c>
      <c r="I19" s="22" t="s">
        <v>41</v>
      </c>
      <c r="J19" s="50">
        <f>SUMIFS(tbl_RawSales[Order Total],tbl_RawSales[Menu Item],I19)</f>
        <v>519.60000000000014</v>
      </c>
      <c r="K19" s="16">
        <f>COUNTIFS(tbl_RawSales[Menu Item],I19)</f>
        <v>23</v>
      </c>
      <c r="L19" s="16">
        <f>SUMIFS(tbl_RawSales[Quantity],tbl_RawSales[Menu Item],I19)</f>
        <v>40</v>
      </c>
    </row>
    <row r="20" spans="4:12" x14ac:dyDescent="0.25">
      <c r="D20" s="21" t="s">
        <v>67</v>
      </c>
      <c r="E20" s="50">
        <f>SUMIFS(tbl_RawSales[Order Total],tbl_RawSales[Category],D20)</f>
        <v>2418.5699999999988</v>
      </c>
      <c r="F20" s="14">
        <f>COUNTIFS(tbl_RawSales[Category],D20)</f>
        <v>137</v>
      </c>
      <c r="G20" s="15">
        <f>AVERAGEIFS(tbl_RawSales[Customer Rating],tbl_RawSales[Category],D20)</f>
        <v>3.8978102189781021</v>
      </c>
      <c r="I20" s="21" t="s">
        <v>62</v>
      </c>
      <c r="J20" s="50">
        <f>SUMIFS(tbl_RawSales[Order Total],tbl_RawSales[Menu Item],I20)</f>
        <v>519.48000000000013</v>
      </c>
      <c r="K20" s="16">
        <f>COUNTIFS(tbl_RawSales[Menu Item],I20)</f>
        <v>33</v>
      </c>
      <c r="L20" s="16">
        <f>SUMIFS(tbl_RawSales[Quantity],tbl_RawSales[Menu Item],I20)</f>
        <v>52</v>
      </c>
    </row>
    <row r="21" spans="4:12" x14ac:dyDescent="0.25">
      <c r="D21" s="22" t="s">
        <v>14</v>
      </c>
      <c r="E21" s="53">
        <f>SUMIFS(tbl_RawSales[Order Total],tbl_RawSales[Category],D21)</f>
        <v>17125.839999999906</v>
      </c>
      <c r="F21" s="36">
        <f>COUNTIFS(tbl_RawSales[Category],D21)</f>
        <v>475</v>
      </c>
      <c r="G21" s="37">
        <f>AVERAGEIFS(tbl_RawSales[Customer Rating],tbl_RawSales[Category],D21)</f>
        <v>3.8926315789473684</v>
      </c>
      <c r="I21" s="22" t="s">
        <v>52</v>
      </c>
      <c r="J21" s="50">
        <f>SUMIFS(tbl_RawSales[Order Total],tbl_RawSales[Menu Item],I21)</f>
        <v>496.29000000000025</v>
      </c>
      <c r="K21" s="16">
        <f>COUNTIFS(tbl_RawSales[Menu Item],I21)</f>
        <v>35</v>
      </c>
      <c r="L21" s="16">
        <f>SUMIFS(tbl_RawSales[Quantity],tbl_RawSales[Menu Item],I21)</f>
        <v>71</v>
      </c>
    </row>
    <row r="22" spans="4:12" x14ac:dyDescent="0.25">
      <c r="D22" s="38" t="s">
        <v>1061</v>
      </c>
      <c r="E22" s="54">
        <f>SUM(E18:E21)</f>
        <v>25799.449999999895</v>
      </c>
      <c r="F22" s="39">
        <f>SUM(F18:F21)</f>
        <v>1000</v>
      </c>
      <c r="G22" s="40">
        <f>AVERAGE(G18:G21)</f>
        <v>3.9259863133835471</v>
      </c>
      <c r="I22" s="21" t="s">
        <v>69</v>
      </c>
      <c r="J22" s="50">
        <f>SUMIFS(tbl_RawSales[Order Total],tbl_RawSales[Menu Item],I22)</f>
        <v>494.45000000000005</v>
      </c>
      <c r="K22" s="16">
        <f>COUNTIFS(tbl_RawSales[Menu Item],I22)</f>
        <v>27</v>
      </c>
      <c r="L22" s="16">
        <f>SUMIFS(tbl_RawSales[Quantity],tbl_RawSales[Menu Item],I22)</f>
        <v>55</v>
      </c>
    </row>
    <row r="23" spans="4:12" x14ac:dyDescent="0.25">
      <c r="I23" s="22" t="s">
        <v>176</v>
      </c>
      <c r="J23" s="50">
        <f>SUMIFS(tbl_RawSales[Order Total],tbl_RawSales[Menu Item],I23)</f>
        <v>431.64000000000004</v>
      </c>
      <c r="K23" s="16">
        <f>COUNTIFS(tbl_RawSales[Menu Item],I23)</f>
        <v>23</v>
      </c>
      <c r="L23" s="16">
        <f>SUMIFS(tbl_RawSales[Quantity],tbl_RawSales[Menu Item],I23)</f>
        <v>36</v>
      </c>
    </row>
    <row r="24" spans="4:12" x14ac:dyDescent="0.25">
      <c r="I24" s="21" t="s">
        <v>66</v>
      </c>
      <c r="J24" s="50">
        <f>SUMIFS(tbl_RawSales[Order Total],tbl_RawSales[Menu Item],I24)</f>
        <v>375.5300000000002</v>
      </c>
      <c r="K24" s="16">
        <f>COUNTIFS(tbl_RawSales[Menu Item],I24)</f>
        <v>31</v>
      </c>
      <c r="L24" s="16">
        <f>SUMIFS(tbl_RawSales[Quantity],tbl_RawSales[Menu Item],I24)</f>
        <v>47</v>
      </c>
    </row>
    <row r="25" spans="4:12" x14ac:dyDescent="0.25">
      <c r="D25" s="23" t="s">
        <v>1053</v>
      </c>
      <c r="E25" s="49" t="s">
        <v>1059</v>
      </c>
      <c r="F25" s="25" t="s">
        <v>1063</v>
      </c>
      <c r="I25" s="22" t="s">
        <v>221</v>
      </c>
      <c r="J25" s="50">
        <f>SUMIFS(tbl_RawSales[Order Total],tbl_RawSales[Menu Item],I25)</f>
        <v>369.63000000000011</v>
      </c>
      <c r="K25" s="16">
        <f>COUNTIFS(tbl_RawSales[Menu Item],I25)</f>
        <v>21</v>
      </c>
      <c r="L25" s="16">
        <f>SUMIFS(tbl_RawSales[Quantity],tbl_RawSales[Menu Item],I25)</f>
        <v>37</v>
      </c>
    </row>
    <row r="26" spans="4:12" x14ac:dyDescent="0.25">
      <c r="D26" s="27" t="s">
        <v>1065</v>
      </c>
      <c r="E26" s="55">
        <f>SUMIFS(tbl_RawSales[Order Total],tbl_RawSales[Month],D26)</f>
        <v>2382.3999999999992</v>
      </c>
      <c r="F26" s="28">
        <f>COUNTIFS(tbl_RawSales[Month],D26)</f>
        <v>83</v>
      </c>
      <c r="I26" s="21" t="s">
        <v>112</v>
      </c>
      <c r="J26" s="50">
        <f>SUMIFS(tbl_RawSales[Order Total],tbl_RawSales[Menu Item],I26)</f>
        <v>329.45000000000005</v>
      </c>
      <c r="K26" s="16">
        <f>COUNTIFS(tbl_RawSales[Menu Item],I26)</f>
        <v>31</v>
      </c>
      <c r="L26" s="16">
        <f>SUMIFS(tbl_RawSales[Quantity],tbl_RawSales[Menu Item],I26)</f>
        <v>55</v>
      </c>
    </row>
    <row r="27" spans="4:12" x14ac:dyDescent="0.25">
      <c r="D27" s="29" t="s">
        <v>1066</v>
      </c>
      <c r="E27" s="53">
        <f>SUMIFS(tbl_RawSales[Order Total],tbl_RawSales[Month],D27)</f>
        <v>1403.9600000000007</v>
      </c>
      <c r="F27" s="30">
        <f>COUNTIFS(tbl_RawSales[Month],D27)</f>
        <v>70</v>
      </c>
      <c r="I27" s="22" t="s">
        <v>119</v>
      </c>
      <c r="J27" s="50">
        <f>SUMIFS(tbl_RawSales[Order Total],tbl_RawSales[Menu Item],I27)</f>
        <v>294.41000000000008</v>
      </c>
      <c r="K27" s="16">
        <f>COUNTIFS(tbl_RawSales[Menu Item],I27)</f>
        <v>34</v>
      </c>
      <c r="L27" s="16">
        <f>SUMIFS(tbl_RawSales[Quantity],tbl_RawSales[Menu Item],I27)</f>
        <v>59</v>
      </c>
    </row>
    <row r="28" spans="4:12" x14ac:dyDescent="0.25">
      <c r="D28" s="31" t="s">
        <v>1067</v>
      </c>
      <c r="E28" s="50">
        <f>SUMIFS(tbl_RawSales[Order Total],tbl_RawSales[Month],D28)</f>
        <v>2079.1100000000006</v>
      </c>
      <c r="F28" s="32">
        <f>COUNTIFS(tbl_RawSales[Month],D28)</f>
        <v>82</v>
      </c>
      <c r="I28" s="21" t="s">
        <v>26</v>
      </c>
      <c r="J28" s="50">
        <f>SUMIFS(tbl_RawSales[Order Total],tbl_RawSales[Menu Item],I28)</f>
        <v>181.48000000000005</v>
      </c>
      <c r="K28" s="16">
        <f>COUNTIFS(tbl_RawSales[Menu Item],I28)</f>
        <v>32</v>
      </c>
      <c r="L28" s="16">
        <f>SUMIFS(tbl_RawSales[Quantity],tbl_RawSales[Menu Item],I28)</f>
        <v>52</v>
      </c>
    </row>
    <row r="29" spans="4:12" x14ac:dyDescent="0.25">
      <c r="D29" s="29" t="s">
        <v>1068</v>
      </c>
      <c r="E29" s="53">
        <f>SUMIFS(tbl_RawSales[Order Total],tbl_RawSales[Month],D29)</f>
        <v>2185.5200000000004</v>
      </c>
      <c r="F29" s="30">
        <f>COUNTIFS(tbl_RawSales[Month],D29)</f>
        <v>83</v>
      </c>
      <c r="I29" s="43" t="s">
        <v>1061</v>
      </c>
      <c r="J29" s="51">
        <f>SUM(J4:J28)</f>
        <v>25799.449999999997</v>
      </c>
      <c r="K29" s="44">
        <f>SUM(K4:K28)</f>
        <v>1000</v>
      </c>
      <c r="L29" s="45">
        <f>SUM(L4:L28)</f>
        <v>1755</v>
      </c>
    </row>
    <row r="30" spans="4:12" x14ac:dyDescent="0.25">
      <c r="D30" s="31" t="s">
        <v>1069</v>
      </c>
      <c r="E30" s="50">
        <f>SUMIFS(tbl_RawSales[Order Total],tbl_RawSales[Month],D30)</f>
        <v>2216.4299999999994</v>
      </c>
      <c r="F30" s="32">
        <f>COUNTIFS(tbl_RawSales[Month],D30)</f>
        <v>87</v>
      </c>
    </row>
    <row r="31" spans="4:12" x14ac:dyDescent="0.25">
      <c r="D31" s="29" t="s">
        <v>1070</v>
      </c>
      <c r="E31" s="53">
        <f>SUMIFS(tbl_RawSales[Order Total],tbl_RawSales[Month],D31)</f>
        <v>2391.3999999999996</v>
      </c>
      <c r="F31" s="30">
        <f>COUNTIFS(tbl_RawSales[Month],D31)</f>
        <v>88</v>
      </c>
    </row>
    <row r="32" spans="4:12" x14ac:dyDescent="0.25">
      <c r="D32" s="31" t="s">
        <v>1071</v>
      </c>
      <c r="E32" s="50">
        <f>SUMIFS(tbl_RawSales[Order Total],tbl_RawSales[Month],D32)</f>
        <v>1855.7300000000009</v>
      </c>
      <c r="F32" s="32">
        <f>COUNTIFS(tbl_RawSales[Month],D32)</f>
        <v>71</v>
      </c>
    </row>
    <row r="33" spans="4:6" x14ac:dyDescent="0.25">
      <c r="D33" s="29" t="s">
        <v>1072</v>
      </c>
      <c r="E33" s="53">
        <f>SUMIFS(tbl_RawSales[Order Total],tbl_RawSales[Month],D33)</f>
        <v>1989.690000000001</v>
      </c>
      <c r="F33" s="30">
        <f>COUNTIFS(tbl_RawSales[Month],D33)</f>
        <v>75</v>
      </c>
    </row>
    <row r="34" spans="4:6" x14ac:dyDescent="0.25">
      <c r="D34" s="31" t="s">
        <v>1073</v>
      </c>
      <c r="E34" s="50">
        <f>SUMIFS(tbl_RawSales[Order Total],tbl_RawSales[Month],D34)</f>
        <v>2575.1799999999994</v>
      </c>
      <c r="F34" s="32">
        <f>COUNTIFS(tbl_RawSales[Month],D34)</f>
        <v>97</v>
      </c>
    </row>
    <row r="35" spans="4:6" x14ac:dyDescent="0.25">
      <c r="D35" s="29" t="s">
        <v>1074</v>
      </c>
      <c r="E35" s="53">
        <f>SUMIFS(tbl_RawSales[Order Total],tbl_RawSales[Month],D35)</f>
        <v>2543.2699999999986</v>
      </c>
      <c r="F35" s="30">
        <f>COUNTIFS(tbl_RawSales[Month],D35)</f>
        <v>103</v>
      </c>
    </row>
    <row r="36" spans="4:6" x14ac:dyDescent="0.25">
      <c r="D36" s="31" t="s">
        <v>1075</v>
      </c>
      <c r="E36" s="50">
        <f>SUMIFS(tbl_RawSales[Order Total],tbl_RawSales[Month],D36)</f>
        <v>2122.52</v>
      </c>
      <c r="F36" s="32">
        <f>COUNTIFS(tbl_RawSales[Month],D36)</f>
        <v>87</v>
      </c>
    </row>
    <row r="37" spans="4:6" x14ac:dyDescent="0.25">
      <c r="D37" s="29" t="s">
        <v>1076</v>
      </c>
      <c r="E37" s="53">
        <f>SUMIFS(tbl_RawSales[Order Total],tbl_RawSales[Month],D37)</f>
        <v>2054.2400000000007</v>
      </c>
      <c r="F37" s="30">
        <f>COUNTIFS(tbl_RawSales[Month],D37)</f>
        <v>74</v>
      </c>
    </row>
    <row r="38" spans="4:6" x14ac:dyDescent="0.25">
      <c r="D38" s="41" t="s">
        <v>1061</v>
      </c>
      <c r="E38" s="54">
        <f>SUM(E26:E37)</f>
        <v>25799.450000000004</v>
      </c>
      <c r="F38" s="42">
        <f>SUM(F26:F37)</f>
        <v>1000</v>
      </c>
    </row>
  </sheetData>
  <mergeCells count="3">
    <mergeCell ref="A1:B1"/>
    <mergeCell ref="A2:B2"/>
    <mergeCell ref="N3:P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B381-6FE6-4B24-8840-A2752167A525}">
  <sheetPr codeName="Sheet7"/>
  <dimension ref="A1:S1001"/>
  <sheetViews>
    <sheetView zoomScaleNormal="100" workbookViewId="0">
      <pane ySplit="1" topLeftCell="A2" activePane="bottomLeft" state="frozen"/>
      <selection pane="bottomLeft"/>
    </sheetView>
  </sheetViews>
  <sheetFormatPr defaultRowHeight="15" x14ac:dyDescent="0.25"/>
  <cols>
    <col min="1" max="1" width="15.5703125" customWidth="1"/>
    <col min="2" max="2" width="12.5703125" style="20" customWidth="1"/>
    <col min="3" max="3" width="20.85546875" bestFit="1" customWidth="1"/>
    <col min="4" max="4" width="12.85546875" customWidth="1"/>
    <col min="5" max="5" width="19.28515625" bestFit="1" customWidth="1"/>
    <col min="6" max="6" width="10.7109375" customWidth="1"/>
    <col min="7" max="7" width="10.140625" customWidth="1"/>
    <col min="8" max="8" width="11.42578125" style="1" customWidth="1"/>
    <col min="9" max="9" width="15.5703125" style="1" bestFit="1" customWidth="1"/>
    <col min="10" max="10" width="17.5703125" customWidth="1"/>
    <col min="11" max="11" width="10.42578125" bestFit="1" customWidth="1"/>
    <col min="12" max="12" width="18.140625" bestFit="1" customWidth="1"/>
    <col min="13" max="13" width="19.28515625" bestFit="1" customWidth="1"/>
    <col min="14" max="14" width="15.5703125" bestFit="1" customWidth="1"/>
    <col min="18" max="18" width="11.28515625" bestFit="1" customWidth="1"/>
  </cols>
  <sheetData>
    <row r="1" spans="1:19" x14ac:dyDescent="0.25">
      <c r="A1" s="23" t="s">
        <v>0</v>
      </c>
      <c r="B1" s="56" t="s">
        <v>1</v>
      </c>
      <c r="C1" s="23" t="s">
        <v>2</v>
      </c>
      <c r="D1" s="23" t="s">
        <v>3</v>
      </c>
      <c r="E1" s="23" t="s">
        <v>4</v>
      </c>
      <c r="F1" s="23" t="s">
        <v>5</v>
      </c>
      <c r="G1" s="23" t="s">
        <v>6</v>
      </c>
      <c r="H1" s="23" t="s">
        <v>7</v>
      </c>
      <c r="I1" s="23" t="s">
        <v>8</v>
      </c>
      <c r="J1" s="23" t="s">
        <v>9</v>
      </c>
      <c r="K1" s="23" t="s">
        <v>1053</v>
      </c>
      <c r="L1" s="23" t="s">
        <v>1054</v>
      </c>
      <c r="M1" s="23" t="s">
        <v>1056</v>
      </c>
      <c r="N1" s="23" t="s">
        <v>1055</v>
      </c>
    </row>
    <row r="2" spans="1:19" x14ac:dyDescent="0.25">
      <c r="A2" t="s">
        <v>10</v>
      </c>
      <c r="B2" s="20">
        <v>45478</v>
      </c>
      <c r="C2" t="s">
        <v>11</v>
      </c>
      <c r="D2" t="s">
        <v>12</v>
      </c>
      <c r="E2" t="s">
        <v>13</v>
      </c>
      <c r="F2" t="s">
        <v>14</v>
      </c>
      <c r="G2">
        <v>2</v>
      </c>
      <c r="H2" s="1">
        <v>18.989999999999998</v>
      </c>
      <c r="I2" s="1">
        <v>37.979999999999997</v>
      </c>
      <c r="J2">
        <v>4</v>
      </c>
      <c r="K2" t="str">
        <f>TEXT(tbl_RawSales[[#This Row],[Order Date]],"mmm")</f>
        <v>Jul</v>
      </c>
      <c r="L2">
        <f>MONTH(tbl_RawSales[[#This Row],[Order Date]])</f>
        <v>7</v>
      </c>
      <c r="M2" t="str">
        <f>TEXT(tbl_RawSales[[#This Row],[Order Date]],"ddd")</f>
        <v>Fri</v>
      </c>
      <c r="N2">
        <f>WEEKDAY(tbl_RawSales[[#This Row],[Order Date]],2)</f>
        <v>5</v>
      </c>
    </row>
    <row r="3" spans="1:19" x14ac:dyDescent="0.25">
      <c r="A3" t="s">
        <v>15</v>
      </c>
      <c r="B3" s="20">
        <v>45557</v>
      </c>
      <c r="C3" t="s">
        <v>16</v>
      </c>
      <c r="D3" t="s">
        <v>17</v>
      </c>
      <c r="E3" t="s">
        <v>18</v>
      </c>
      <c r="F3" t="s">
        <v>19</v>
      </c>
      <c r="G3">
        <v>1</v>
      </c>
      <c r="H3" s="1">
        <v>9.99</v>
      </c>
      <c r="I3" s="1">
        <v>9.99</v>
      </c>
      <c r="J3">
        <v>4</v>
      </c>
      <c r="K3" t="str">
        <f>TEXT(tbl_RawSales[[#This Row],[Order Date]],"mmm")</f>
        <v>Sept</v>
      </c>
      <c r="L3">
        <f>MONTH(tbl_RawSales[[#This Row],[Order Date]])</f>
        <v>9</v>
      </c>
      <c r="M3" t="str">
        <f>TEXT(tbl_RawSales[[#This Row],[Order Date]],"ddd")</f>
        <v>Sun</v>
      </c>
      <c r="N3">
        <f>WEEKDAY(tbl_RawSales[[#This Row],[Order Date]],2)</f>
        <v>7</v>
      </c>
    </row>
    <row r="4" spans="1:19" x14ac:dyDescent="0.25">
      <c r="A4" t="s">
        <v>20</v>
      </c>
      <c r="B4" s="20">
        <v>45767</v>
      </c>
      <c r="C4" t="s">
        <v>21</v>
      </c>
      <c r="D4" t="s">
        <v>17</v>
      </c>
      <c r="E4" t="s">
        <v>22</v>
      </c>
      <c r="F4" t="s">
        <v>23</v>
      </c>
      <c r="G4">
        <v>3</v>
      </c>
      <c r="H4" s="1">
        <v>8.99</v>
      </c>
      <c r="I4" s="1">
        <v>26.97</v>
      </c>
      <c r="J4">
        <v>5</v>
      </c>
      <c r="K4" t="str">
        <f>TEXT(tbl_RawSales[[#This Row],[Order Date]],"mmm")</f>
        <v>Apr</v>
      </c>
      <c r="L4">
        <f>MONTH(tbl_RawSales[[#This Row],[Order Date]])</f>
        <v>4</v>
      </c>
      <c r="M4" t="str">
        <f>TEXT(tbl_RawSales[[#This Row],[Order Date]],"ddd")</f>
        <v>Sun</v>
      </c>
      <c r="N4">
        <f>WEEKDAY(tbl_RawSales[[#This Row],[Order Date]],2)</f>
        <v>7</v>
      </c>
    </row>
    <row r="5" spans="1:19" x14ac:dyDescent="0.25">
      <c r="A5" t="s">
        <v>24</v>
      </c>
      <c r="B5" s="20">
        <v>45471</v>
      </c>
      <c r="C5" t="s">
        <v>25</v>
      </c>
      <c r="D5" t="s">
        <v>12</v>
      </c>
      <c r="E5" t="s">
        <v>26</v>
      </c>
      <c r="F5" t="s">
        <v>19</v>
      </c>
      <c r="G5">
        <v>2</v>
      </c>
      <c r="H5" s="1">
        <v>3.49</v>
      </c>
      <c r="I5" s="1">
        <v>6.98</v>
      </c>
      <c r="J5">
        <v>5</v>
      </c>
      <c r="K5" t="str">
        <f>TEXT(tbl_RawSales[[#This Row],[Order Date]],"mmm")</f>
        <v>Jun</v>
      </c>
      <c r="L5">
        <f>MONTH(tbl_RawSales[[#This Row],[Order Date]])</f>
        <v>6</v>
      </c>
      <c r="M5" t="str">
        <f>TEXT(tbl_RawSales[[#This Row],[Order Date]],"ddd")</f>
        <v>Fri</v>
      </c>
      <c r="N5">
        <f>WEEKDAY(tbl_RawSales[[#This Row],[Order Date]],2)</f>
        <v>5</v>
      </c>
    </row>
    <row r="6" spans="1:19" x14ac:dyDescent="0.25">
      <c r="A6" t="s">
        <v>27</v>
      </c>
      <c r="B6" s="20">
        <v>45843</v>
      </c>
      <c r="C6" t="s">
        <v>28</v>
      </c>
      <c r="D6" t="s">
        <v>29</v>
      </c>
      <c r="E6" t="s">
        <v>30</v>
      </c>
      <c r="F6" t="s">
        <v>19</v>
      </c>
      <c r="G6">
        <v>1</v>
      </c>
      <c r="H6" s="1">
        <v>7.99</v>
      </c>
      <c r="I6" s="1">
        <v>7.99</v>
      </c>
      <c r="J6">
        <v>3</v>
      </c>
      <c r="K6" t="str">
        <f>TEXT(tbl_RawSales[[#This Row],[Order Date]],"mmm")</f>
        <v>Jul</v>
      </c>
      <c r="L6">
        <f>MONTH(tbl_RawSales[[#This Row],[Order Date]])</f>
        <v>7</v>
      </c>
      <c r="M6" t="str">
        <f>TEXT(tbl_RawSales[[#This Row],[Order Date]],"ddd")</f>
        <v>Sat</v>
      </c>
      <c r="N6">
        <f>WEEKDAY(tbl_RawSales[[#This Row],[Order Date]],2)</f>
        <v>6</v>
      </c>
      <c r="R6" s="76"/>
      <c r="S6" s="76"/>
    </row>
    <row r="7" spans="1:19" x14ac:dyDescent="0.25">
      <c r="A7" t="s">
        <v>31</v>
      </c>
      <c r="B7" s="20">
        <v>45792</v>
      </c>
      <c r="C7" t="s">
        <v>32</v>
      </c>
      <c r="D7" t="s">
        <v>12</v>
      </c>
      <c r="E7" t="s">
        <v>22</v>
      </c>
      <c r="F7" t="s">
        <v>23</v>
      </c>
      <c r="G7">
        <v>1</v>
      </c>
      <c r="H7" s="1">
        <v>8.99</v>
      </c>
      <c r="I7" s="1">
        <v>8.99</v>
      </c>
      <c r="J7">
        <v>3</v>
      </c>
      <c r="K7" t="str">
        <f>TEXT(tbl_RawSales[[#This Row],[Order Date]],"mmm")</f>
        <v>May</v>
      </c>
      <c r="L7">
        <f>MONTH(tbl_RawSales[[#This Row],[Order Date]])</f>
        <v>5</v>
      </c>
      <c r="M7" t="str">
        <f>TEXT(tbl_RawSales[[#This Row],[Order Date]],"ddd")</f>
        <v>Thu</v>
      </c>
      <c r="N7">
        <f>WEEKDAY(tbl_RawSales[[#This Row],[Order Date]],2)</f>
        <v>4</v>
      </c>
    </row>
    <row r="8" spans="1:19" x14ac:dyDescent="0.25">
      <c r="A8" t="s">
        <v>33</v>
      </c>
      <c r="B8" s="20">
        <v>45438</v>
      </c>
      <c r="C8" t="s">
        <v>34</v>
      </c>
      <c r="D8" t="s">
        <v>29</v>
      </c>
      <c r="E8" t="s">
        <v>13</v>
      </c>
      <c r="F8" t="s">
        <v>14</v>
      </c>
      <c r="G8">
        <v>1</v>
      </c>
      <c r="H8" s="1">
        <v>18.989999999999998</v>
      </c>
      <c r="I8" s="1">
        <v>18.989999999999998</v>
      </c>
      <c r="J8">
        <v>4</v>
      </c>
      <c r="K8" t="str">
        <f>TEXT(tbl_RawSales[[#This Row],[Order Date]],"mmm")</f>
        <v>May</v>
      </c>
      <c r="L8">
        <f>MONTH(tbl_RawSales[[#This Row],[Order Date]])</f>
        <v>5</v>
      </c>
      <c r="M8" t="str">
        <f>TEXT(tbl_RawSales[[#This Row],[Order Date]],"ddd")</f>
        <v>Sun</v>
      </c>
      <c r="N8">
        <f>WEEKDAY(tbl_RawSales[[#This Row],[Order Date]],2)</f>
        <v>7</v>
      </c>
    </row>
    <row r="9" spans="1:19" x14ac:dyDescent="0.25">
      <c r="A9" t="s">
        <v>35</v>
      </c>
      <c r="B9" s="20">
        <v>45983</v>
      </c>
      <c r="C9" t="s">
        <v>32</v>
      </c>
      <c r="D9" t="s">
        <v>17</v>
      </c>
      <c r="E9" t="s">
        <v>36</v>
      </c>
      <c r="F9" t="s">
        <v>14</v>
      </c>
      <c r="G9">
        <v>2</v>
      </c>
      <c r="H9" s="1">
        <v>16.989999999999998</v>
      </c>
      <c r="I9" s="1">
        <v>33.979999999999997</v>
      </c>
      <c r="J9">
        <v>4</v>
      </c>
      <c r="K9" t="str">
        <f>TEXT(tbl_RawSales[[#This Row],[Order Date]],"mmm")</f>
        <v>Nov</v>
      </c>
      <c r="L9">
        <f>MONTH(tbl_RawSales[[#This Row],[Order Date]])</f>
        <v>11</v>
      </c>
      <c r="M9" t="str">
        <f>TEXT(tbl_RawSales[[#This Row],[Order Date]],"ddd")</f>
        <v>Sat</v>
      </c>
      <c r="N9">
        <f>WEEKDAY(tbl_RawSales[[#This Row],[Order Date]],2)</f>
        <v>6</v>
      </c>
    </row>
    <row r="10" spans="1:19" x14ac:dyDescent="0.25">
      <c r="A10" t="s">
        <v>37</v>
      </c>
      <c r="B10" s="20">
        <v>45575</v>
      </c>
      <c r="C10" t="s">
        <v>38</v>
      </c>
      <c r="D10" t="s">
        <v>29</v>
      </c>
      <c r="E10" t="s">
        <v>39</v>
      </c>
      <c r="F10" t="s">
        <v>14</v>
      </c>
      <c r="G10">
        <v>3</v>
      </c>
      <c r="H10" s="1">
        <v>24.99</v>
      </c>
      <c r="I10" s="1">
        <v>74.97</v>
      </c>
      <c r="J10">
        <v>4</v>
      </c>
      <c r="K10" t="str">
        <f>TEXT(tbl_RawSales[[#This Row],[Order Date]],"mmm")</f>
        <v>Oct</v>
      </c>
      <c r="L10">
        <f>MONTH(tbl_RawSales[[#This Row],[Order Date]])</f>
        <v>10</v>
      </c>
      <c r="M10" t="str">
        <f>TEXT(tbl_RawSales[[#This Row],[Order Date]],"ddd")</f>
        <v>Thu</v>
      </c>
      <c r="N10">
        <f>WEEKDAY(tbl_RawSales[[#This Row],[Order Date]],2)</f>
        <v>4</v>
      </c>
      <c r="S10" s="2"/>
    </row>
    <row r="11" spans="1:19" x14ac:dyDescent="0.25">
      <c r="A11" t="s">
        <v>40</v>
      </c>
      <c r="B11" s="20">
        <v>45654</v>
      </c>
      <c r="C11" t="s">
        <v>28</v>
      </c>
      <c r="D11" t="s">
        <v>29</v>
      </c>
      <c r="E11" t="s">
        <v>41</v>
      </c>
      <c r="F11" t="s">
        <v>23</v>
      </c>
      <c r="G11">
        <v>1</v>
      </c>
      <c r="H11" s="1">
        <v>12.99</v>
      </c>
      <c r="I11" s="1">
        <v>12.99</v>
      </c>
      <c r="J11">
        <v>3</v>
      </c>
      <c r="K11" t="str">
        <f>TEXT(tbl_RawSales[[#This Row],[Order Date]],"mmm")</f>
        <v>Dec</v>
      </c>
      <c r="L11">
        <f>MONTH(tbl_RawSales[[#This Row],[Order Date]])</f>
        <v>12</v>
      </c>
      <c r="M11" t="str">
        <f>TEXT(tbl_RawSales[[#This Row],[Order Date]],"ddd")</f>
        <v>Sat</v>
      </c>
      <c r="N11">
        <f>WEEKDAY(tbl_RawSales[[#This Row],[Order Date]],2)</f>
        <v>6</v>
      </c>
      <c r="R11" s="3"/>
    </row>
    <row r="12" spans="1:19" x14ac:dyDescent="0.25">
      <c r="A12" t="s">
        <v>42</v>
      </c>
      <c r="B12" s="20">
        <v>45786</v>
      </c>
      <c r="C12" t="s">
        <v>11</v>
      </c>
      <c r="D12" t="s">
        <v>29</v>
      </c>
      <c r="E12" t="s">
        <v>43</v>
      </c>
      <c r="F12" t="s">
        <v>23</v>
      </c>
      <c r="G12">
        <v>2</v>
      </c>
      <c r="H12" s="1">
        <v>11.99</v>
      </c>
      <c r="I12" s="1">
        <v>23.98</v>
      </c>
      <c r="J12">
        <v>5</v>
      </c>
      <c r="K12" t="str">
        <f>TEXT(tbl_RawSales[[#This Row],[Order Date]],"mmm")</f>
        <v>May</v>
      </c>
      <c r="L12">
        <f>MONTH(tbl_RawSales[[#This Row],[Order Date]])</f>
        <v>5</v>
      </c>
      <c r="M12" t="str">
        <f>TEXT(tbl_RawSales[[#This Row],[Order Date]],"ddd")</f>
        <v>Fri</v>
      </c>
      <c r="N12">
        <f>WEEKDAY(tbl_RawSales[[#This Row],[Order Date]],2)</f>
        <v>5</v>
      </c>
    </row>
    <row r="13" spans="1:19" x14ac:dyDescent="0.25">
      <c r="A13" t="s">
        <v>44</v>
      </c>
      <c r="B13" s="20">
        <v>45415</v>
      </c>
      <c r="C13" t="s">
        <v>45</v>
      </c>
      <c r="D13" t="s">
        <v>29</v>
      </c>
      <c r="E13" t="s">
        <v>46</v>
      </c>
      <c r="F13" t="s">
        <v>14</v>
      </c>
      <c r="G13">
        <v>1</v>
      </c>
      <c r="H13" s="1">
        <v>32.99</v>
      </c>
      <c r="I13" s="1">
        <v>32.99</v>
      </c>
      <c r="J13">
        <v>3</v>
      </c>
      <c r="K13" t="str">
        <f>TEXT(tbl_RawSales[[#This Row],[Order Date]],"mmm")</f>
        <v>May</v>
      </c>
      <c r="L13">
        <f>MONTH(tbl_RawSales[[#This Row],[Order Date]])</f>
        <v>5</v>
      </c>
      <c r="M13" t="str">
        <f>TEXT(tbl_RawSales[[#This Row],[Order Date]],"ddd")</f>
        <v>Fri</v>
      </c>
      <c r="N13">
        <f>WEEKDAY(tbl_RawSales[[#This Row],[Order Date]],2)</f>
        <v>5</v>
      </c>
    </row>
    <row r="14" spans="1:19" x14ac:dyDescent="0.25">
      <c r="A14" t="s">
        <v>47</v>
      </c>
      <c r="B14" s="20">
        <v>45339</v>
      </c>
      <c r="C14" t="s">
        <v>38</v>
      </c>
      <c r="D14" t="s">
        <v>29</v>
      </c>
      <c r="E14" t="s">
        <v>43</v>
      </c>
      <c r="F14" t="s">
        <v>23</v>
      </c>
      <c r="G14">
        <v>1</v>
      </c>
      <c r="H14" s="1">
        <v>11.99</v>
      </c>
      <c r="I14" s="1">
        <v>11.99</v>
      </c>
      <c r="J14">
        <v>4</v>
      </c>
      <c r="K14" t="str">
        <f>TEXT(tbl_RawSales[[#This Row],[Order Date]],"mmm")</f>
        <v>Feb</v>
      </c>
      <c r="L14">
        <f>MONTH(tbl_RawSales[[#This Row],[Order Date]])</f>
        <v>2</v>
      </c>
      <c r="M14" t="str">
        <f>TEXT(tbl_RawSales[[#This Row],[Order Date]],"ddd")</f>
        <v>Sat</v>
      </c>
      <c r="N14">
        <f>WEEKDAY(tbl_RawSales[[#This Row],[Order Date]],2)</f>
        <v>6</v>
      </c>
    </row>
    <row r="15" spans="1:19" x14ac:dyDescent="0.25">
      <c r="A15" t="s">
        <v>48</v>
      </c>
      <c r="B15" s="20">
        <v>45397</v>
      </c>
      <c r="C15" t="s">
        <v>32</v>
      </c>
      <c r="D15" t="s">
        <v>12</v>
      </c>
      <c r="E15" t="s">
        <v>30</v>
      </c>
      <c r="F15" t="s">
        <v>19</v>
      </c>
      <c r="G15">
        <v>1</v>
      </c>
      <c r="H15" s="1">
        <v>7.99</v>
      </c>
      <c r="I15" s="1">
        <v>7.99</v>
      </c>
      <c r="J15">
        <v>4</v>
      </c>
      <c r="K15" t="str">
        <f>TEXT(tbl_RawSales[[#This Row],[Order Date]],"mmm")</f>
        <v>Apr</v>
      </c>
      <c r="L15">
        <f>MONTH(tbl_RawSales[[#This Row],[Order Date]])</f>
        <v>4</v>
      </c>
      <c r="M15" t="str">
        <f>TEXT(tbl_RawSales[[#This Row],[Order Date]],"ddd")</f>
        <v>Mon</v>
      </c>
      <c r="N15">
        <f>WEEKDAY(tbl_RawSales[[#This Row],[Order Date]],2)</f>
        <v>1</v>
      </c>
    </row>
    <row r="16" spans="1:19" x14ac:dyDescent="0.25">
      <c r="A16" t="s">
        <v>49</v>
      </c>
      <c r="B16" s="20">
        <v>45998</v>
      </c>
      <c r="C16" t="s">
        <v>25</v>
      </c>
      <c r="D16" t="s">
        <v>17</v>
      </c>
      <c r="E16" t="s">
        <v>50</v>
      </c>
      <c r="F16" t="s">
        <v>14</v>
      </c>
      <c r="G16">
        <v>4</v>
      </c>
      <c r="H16" s="1">
        <v>22.99</v>
      </c>
      <c r="I16" s="1">
        <v>91.96</v>
      </c>
      <c r="J16">
        <v>4</v>
      </c>
      <c r="K16" t="str">
        <f>TEXT(tbl_RawSales[[#This Row],[Order Date]],"mmm")</f>
        <v>Dec</v>
      </c>
      <c r="L16">
        <f>MONTH(tbl_RawSales[[#This Row],[Order Date]])</f>
        <v>12</v>
      </c>
      <c r="M16" t="str">
        <f>TEXT(tbl_RawSales[[#This Row],[Order Date]],"ddd")</f>
        <v>Sun</v>
      </c>
      <c r="N16">
        <f>WEEKDAY(tbl_RawSales[[#This Row],[Order Date]],2)</f>
        <v>7</v>
      </c>
    </row>
    <row r="17" spans="1:14" x14ac:dyDescent="0.25">
      <c r="A17" t="s">
        <v>51</v>
      </c>
      <c r="B17" s="20">
        <v>45821</v>
      </c>
      <c r="C17" t="s">
        <v>32</v>
      </c>
      <c r="D17" t="s">
        <v>17</v>
      </c>
      <c r="E17" t="s">
        <v>52</v>
      </c>
      <c r="F17" t="s">
        <v>19</v>
      </c>
      <c r="G17">
        <v>2</v>
      </c>
      <c r="H17" s="1">
        <v>6.99</v>
      </c>
      <c r="I17" s="1">
        <v>13.98</v>
      </c>
      <c r="J17">
        <v>4</v>
      </c>
      <c r="K17" t="str">
        <f>TEXT(tbl_RawSales[[#This Row],[Order Date]],"mmm")</f>
        <v>Jun</v>
      </c>
      <c r="L17">
        <f>MONTH(tbl_RawSales[[#This Row],[Order Date]])</f>
        <v>6</v>
      </c>
      <c r="M17" t="str">
        <f>TEXT(tbl_RawSales[[#This Row],[Order Date]],"ddd")</f>
        <v>Fri</v>
      </c>
      <c r="N17">
        <f>WEEKDAY(tbl_RawSales[[#This Row],[Order Date]],2)</f>
        <v>5</v>
      </c>
    </row>
    <row r="18" spans="1:14" x14ac:dyDescent="0.25">
      <c r="A18" t="s">
        <v>53</v>
      </c>
      <c r="B18" s="20">
        <v>45409</v>
      </c>
      <c r="C18" t="s">
        <v>34</v>
      </c>
      <c r="D18" t="s">
        <v>12</v>
      </c>
      <c r="E18" t="s">
        <v>52</v>
      </c>
      <c r="F18" t="s">
        <v>19</v>
      </c>
      <c r="G18">
        <v>1</v>
      </c>
      <c r="H18" s="1">
        <v>6.99</v>
      </c>
      <c r="I18" s="1">
        <v>6.99</v>
      </c>
      <c r="J18">
        <v>3</v>
      </c>
      <c r="K18" t="str">
        <f>TEXT(tbl_RawSales[[#This Row],[Order Date]],"mmm")</f>
        <v>Apr</v>
      </c>
      <c r="L18">
        <f>MONTH(tbl_RawSales[[#This Row],[Order Date]])</f>
        <v>4</v>
      </c>
      <c r="M18" t="str">
        <f>TEXT(tbl_RawSales[[#This Row],[Order Date]],"ddd")</f>
        <v>Sat</v>
      </c>
      <c r="N18">
        <f>WEEKDAY(tbl_RawSales[[#This Row],[Order Date]],2)</f>
        <v>6</v>
      </c>
    </row>
    <row r="19" spans="1:14" x14ac:dyDescent="0.25">
      <c r="A19" t="s">
        <v>54</v>
      </c>
      <c r="B19" s="20">
        <v>45808</v>
      </c>
      <c r="C19" t="s">
        <v>32</v>
      </c>
      <c r="D19" t="s">
        <v>12</v>
      </c>
      <c r="E19" t="s">
        <v>55</v>
      </c>
      <c r="F19" t="s">
        <v>23</v>
      </c>
      <c r="G19">
        <v>1</v>
      </c>
      <c r="H19" s="1">
        <v>10.99</v>
      </c>
      <c r="I19" s="1">
        <v>10.99</v>
      </c>
      <c r="J19">
        <v>5</v>
      </c>
      <c r="K19" t="str">
        <f>TEXT(tbl_RawSales[[#This Row],[Order Date]],"mmm")</f>
        <v>May</v>
      </c>
      <c r="L19">
        <f>MONTH(tbl_RawSales[[#This Row],[Order Date]])</f>
        <v>5</v>
      </c>
      <c r="M19" t="str">
        <f>TEXT(tbl_RawSales[[#This Row],[Order Date]],"ddd")</f>
        <v>Sat</v>
      </c>
      <c r="N19">
        <f>WEEKDAY(tbl_RawSales[[#This Row],[Order Date]],2)</f>
        <v>6</v>
      </c>
    </row>
    <row r="20" spans="1:14" x14ac:dyDescent="0.25">
      <c r="A20" t="s">
        <v>56</v>
      </c>
      <c r="B20" s="20">
        <v>45648</v>
      </c>
      <c r="C20" t="s">
        <v>21</v>
      </c>
      <c r="D20" t="s">
        <v>29</v>
      </c>
      <c r="E20" t="s">
        <v>57</v>
      </c>
      <c r="F20" t="s">
        <v>14</v>
      </c>
      <c r="G20">
        <v>1</v>
      </c>
      <c r="H20" s="1">
        <v>15.99</v>
      </c>
      <c r="I20" s="1">
        <v>15.99</v>
      </c>
      <c r="J20">
        <v>4</v>
      </c>
      <c r="K20" t="str">
        <f>TEXT(tbl_RawSales[[#This Row],[Order Date]],"mmm")</f>
        <v>Dec</v>
      </c>
      <c r="L20">
        <f>MONTH(tbl_RawSales[[#This Row],[Order Date]])</f>
        <v>12</v>
      </c>
      <c r="M20" t="str">
        <f>TEXT(tbl_RawSales[[#This Row],[Order Date]],"ddd")</f>
        <v>Sun</v>
      </c>
      <c r="N20">
        <f>WEEKDAY(tbl_RawSales[[#This Row],[Order Date]],2)</f>
        <v>7</v>
      </c>
    </row>
    <row r="21" spans="1:14" x14ac:dyDescent="0.25">
      <c r="A21" t="s">
        <v>58</v>
      </c>
      <c r="B21" s="20">
        <v>45307</v>
      </c>
      <c r="C21" t="s">
        <v>28</v>
      </c>
      <c r="D21" t="s">
        <v>12</v>
      </c>
      <c r="E21" t="s">
        <v>46</v>
      </c>
      <c r="F21" t="s">
        <v>14</v>
      </c>
      <c r="G21">
        <v>1</v>
      </c>
      <c r="H21" s="1">
        <v>32.99</v>
      </c>
      <c r="I21" s="1">
        <v>32.99</v>
      </c>
      <c r="J21">
        <v>4</v>
      </c>
      <c r="K21" t="str">
        <f>TEXT(tbl_RawSales[[#This Row],[Order Date]],"mmm")</f>
        <v>Jan</v>
      </c>
      <c r="L21">
        <f>MONTH(tbl_RawSales[[#This Row],[Order Date]])</f>
        <v>1</v>
      </c>
      <c r="M21" t="str">
        <f>TEXT(tbl_RawSales[[#This Row],[Order Date]],"ddd")</f>
        <v>Tue</v>
      </c>
      <c r="N21">
        <f>WEEKDAY(tbl_RawSales[[#This Row],[Order Date]],2)</f>
        <v>2</v>
      </c>
    </row>
    <row r="22" spans="1:14" x14ac:dyDescent="0.25">
      <c r="A22" t="s">
        <v>59</v>
      </c>
      <c r="B22" s="20">
        <v>45847</v>
      </c>
      <c r="C22" t="s">
        <v>25</v>
      </c>
      <c r="D22" t="s">
        <v>12</v>
      </c>
      <c r="E22" t="s">
        <v>39</v>
      </c>
      <c r="F22" t="s">
        <v>14</v>
      </c>
      <c r="G22">
        <v>2</v>
      </c>
      <c r="H22" s="1">
        <v>24.99</v>
      </c>
      <c r="I22" s="1">
        <v>49.98</v>
      </c>
      <c r="J22">
        <v>5</v>
      </c>
      <c r="K22" t="str">
        <f>TEXT(tbl_RawSales[[#This Row],[Order Date]],"mmm")</f>
        <v>Jul</v>
      </c>
      <c r="L22">
        <f>MONTH(tbl_RawSales[[#This Row],[Order Date]])</f>
        <v>7</v>
      </c>
      <c r="M22" t="str">
        <f>TEXT(tbl_RawSales[[#This Row],[Order Date]],"ddd")</f>
        <v>Wed</v>
      </c>
      <c r="N22">
        <f>WEEKDAY(tbl_RawSales[[#This Row],[Order Date]],2)</f>
        <v>3</v>
      </c>
    </row>
    <row r="23" spans="1:14" x14ac:dyDescent="0.25">
      <c r="A23" t="s">
        <v>60</v>
      </c>
      <c r="B23" s="20">
        <v>45653</v>
      </c>
      <c r="C23" t="s">
        <v>16</v>
      </c>
      <c r="D23" t="s">
        <v>29</v>
      </c>
      <c r="E23" t="s">
        <v>18</v>
      </c>
      <c r="F23" t="s">
        <v>19</v>
      </c>
      <c r="G23">
        <v>1</v>
      </c>
      <c r="H23" s="1">
        <v>9.99</v>
      </c>
      <c r="I23" s="1">
        <v>9.99</v>
      </c>
      <c r="J23">
        <v>5</v>
      </c>
      <c r="K23" t="str">
        <f>TEXT(tbl_RawSales[[#This Row],[Order Date]],"mmm")</f>
        <v>Dec</v>
      </c>
      <c r="L23">
        <f>MONTH(tbl_RawSales[[#This Row],[Order Date]])</f>
        <v>12</v>
      </c>
      <c r="M23" t="str">
        <f>TEXT(tbl_RawSales[[#This Row],[Order Date]],"ddd")</f>
        <v>Fri</v>
      </c>
      <c r="N23">
        <f>WEEKDAY(tbl_RawSales[[#This Row],[Order Date]],2)</f>
        <v>5</v>
      </c>
    </row>
    <row r="24" spans="1:14" x14ac:dyDescent="0.25">
      <c r="A24" t="s">
        <v>61</v>
      </c>
      <c r="B24" s="20">
        <v>45317</v>
      </c>
      <c r="C24" t="s">
        <v>34</v>
      </c>
      <c r="D24" t="s">
        <v>17</v>
      </c>
      <c r="E24" t="s">
        <v>62</v>
      </c>
      <c r="F24" t="s">
        <v>23</v>
      </c>
      <c r="G24">
        <v>3</v>
      </c>
      <c r="H24" s="1">
        <v>9.99</v>
      </c>
      <c r="I24" s="1">
        <v>29.97</v>
      </c>
      <c r="J24">
        <v>4</v>
      </c>
      <c r="K24" t="str">
        <f>TEXT(tbl_RawSales[[#This Row],[Order Date]],"mmm")</f>
        <v>Jan</v>
      </c>
      <c r="L24">
        <f>MONTH(tbl_RawSales[[#This Row],[Order Date]])</f>
        <v>1</v>
      </c>
      <c r="M24" t="str">
        <f>TEXT(tbl_RawSales[[#This Row],[Order Date]],"ddd")</f>
        <v>Fri</v>
      </c>
      <c r="N24">
        <f>WEEKDAY(tbl_RawSales[[#This Row],[Order Date]],2)</f>
        <v>5</v>
      </c>
    </row>
    <row r="25" spans="1:14" x14ac:dyDescent="0.25">
      <c r="A25" t="s">
        <v>63</v>
      </c>
      <c r="B25" s="20">
        <v>45839</v>
      </c>
      <c r="C25" t="s">
        <v>38</v>
      </c>
      <c r="D25" t="s">
        <v>17</v>
      </c>
      <c r="E25" t="s">
        <v>30</v>
      </c>
      <c r="F25" t="s">
        <v>19</v>
      </c>
      <c r="G25">
        <v>1</v>
      </c>
      <c r="H25" s="1">
        <v>7.99</v>
      </c>
      <c r="I25" s="1">
        <v>7.99</v>
      </c>
      <c r="J25">
        <v>5</v>
      </c>
      <c r="K25" t="str">
        <f>TEXT(tbl_RawSales[[#This Row],[Order Date]],"mmm")</f>
        <v>Jul</v>
      </c>
      <c r="L25">
        <f>MONTH(tbl_RawSales[[#This Row],[Order Date]])</f>
        <v>7</v>
      </c>
      <c r="M25" t="str">
        <f>TEXT(tbl_RawSales[[#This Row],[Order Date]],"ddd")</f>
        <v>Tue</v>
      </c>
      <c r="N25">
        <f>WEEKDAY(tbl_RawSales[[#This Row],[Order Date]],2)</f>
        <v>2</v>
      </c>
    </row>
    <row r="26" spans="1:14" x14ac:dyDescent="0.25">
      <c r="A26" t="s">
        <v>64</v>
      </c>
      <c r="B26" s="20">
        <v>45484</v>
      </c>
      <c r="C26" t="s">
        <v>11</v>
      </c>
      <c r="D26" t="s">
        <v>29</v>
      </c>
      <c r="E26" t="s">
        <v>43</v>
      </c>
      <c r="F26" t="s">
        <v>23</v>
      </c>
      <c r="G26">
        <v>2</v>
      </c>
      <c r="H26" s="1">
        <v>11.99</v>
      </c>
      <c r="I26" s="1">
        <v>23.98</v>
      </c>
      <c r="J26">
        <v>4</v>
      </c>
      <c r="K26" t="str">
        <f>TEXT(tbl_RawSales[[#This Row],[Order Date]],"mmm")</f>
        <v>Jul</v>
      </c>
      <c r="L26">
        <f>MONTH(tbl_RawSales[[#This Row],[Order Date]])</f>
        <v>7</v>
      </c>
      <c r="M26" t="str">
        <f>TEXT(tbl_RawSales[[#This Row],[Order Date]],"ddd")</f>
        <v>Thu</v>
      </c>
      <c r="N26">
        <f>WEEKDAY(tbl_RawSales[[#This Row],[Order Date]],2)</f>
        <v>4</v>
      </c>
    </row>
    <row r="27" spans="1:14" x14ac:dyDescent="0.25">
      <c r="A27" t="s">
        <v>65</v>
      </c>
      <c r="B27" s="20">
        <v>45806</v>
      </c>
      <c r="C27" t="s">
        <v>32</v>
      </c>
      <c r="D27" t="s">
        <v>12</v>
      </c>
      <c r="E27" t="s">
        <v>66</v>
      </c>
      <c r="F27" t="s">
        <v>67</v>
      </c>
      <c r="G27">
        <v>2</v>
      </c>
      <c r="H27" s="1">
        <v>7.99</v>
      </c>
      <c r="I27" s="1">
        <v>15.98</v>
      </c>
      <c r="J27">
        <v>4</v>
      </c>
      <c r="K27" t="str">
        <f>TEXT(tbl_RawSales[[#This Row],[Order Date]],"mmm")</f>
        <v>May</v>
      </c>
      <c r="L27">
        <f>MONTH(tbl_RawSales[[#This Row],[Order Date]])</f>
        <v>5</v>
      </c>
      <c r="M27" t="str">
        <f>TEXT(tbl_RawSales[[#This Row],[Order Date]],"ddd")</f>
        <v>Thu</v>
      </c>
      <c r="N27">
        <f>WEEKDAY(tbl_RawSales[[#This Row],[Order Date]],2)</f>
        <v>4</v>
      </c>
    </row>
    <row r="28" spans="1:14" x14ac:dyDescent="0.25">
      <c r="A28" t="s">
        <v>68</v>
      </c>
      <c r="B28" s="20">
        <v>45427</v>
      </c>
      <c r="C28" t="s">
        <v>16</v>
      </c>
      <c r="D28" t="s">
        <v>29</v>
      </c>
      <c r="E28" t="s">
        <v>69</v>
      </c>
      <c r="F28" t="s">
        <v>67</v>
      </c>
      <c r="G28">
        <v>2</v>
      </c>
      <c r="H28" s="1">
        <v>8.99</v>
      </c>
      <c r="I28" s="1">
        <v>17.98</v>
      </c>
      <c r="J28">
        <v>4</v>
      </c>
      <c r="K28" t="str">
        <f>TEXT(tbl_RawSales[[#This Row],[Order Date]],"mmm")</f>
        <v>May</v>
      </c>
      <c r="L28">
        <f>MONTH(tbl_RawSales[[#This Row],[Order Date]])</f>
        <v>5</v>
      </c>
      <c r="M28" t="str">
        <f>TEXT(tbl_RawSales[[#This Row],[Order Date]],"ddd")</f>
        <v>Wed</v>
      </c>
      <c r="N28">
        <f>WEEKDAY(tbl_RawSales[[#This Row],[Order Date]],2)</f>
        <v>3</v>
      </c>
    </row>
    <row r="29" spans="1:14" x14ac:dyDescent="0.25">
      <c r="A29" t="s">
        <v>70</v>
      </c>
      <c r="B29" s="20">
        <v>45855</v>
      </c>
      <c r="C29" t="s">
        <v>32</v>
      </c>
      <c r="D29" t="s">
        <v>29</v>
      </c>
      <c r="E29" t="s">
        <v>36</v>
      </c>
      <c r="F29" t="s">
        <v>14</v>
      </c>
      <c r="G29">
        <v>1</v>
      </c>
      <c r="H29" s="1">
        <v>16.989999999999998</v>
      </c>
      <c r="I29" s="1">
        <v>16.989999999999998</v>
      </c>
      <c r="J29">
        <v>5</v>
      </c>
      <c r="K29" t="str">
        <f>TEXT(tbl_RawSales[[#This Row],[Order Date]],"mmm")</f>
        <v>Jul</v>
      </c>
      <c r="L29">
        <f>MONTH(tbl_RawSales[[#This Row],[Order Date]])</f>
        <v>7</v>
      </c>
      <c r="M29" t="str">
        <f>TEXT(tbl_RawSales[[#This Row],[Order Date]],"ddd")</f>
        <v>Thu</v>
      </c>
      <c r="N29">
        <f>WEEKDAY(tbl_RawSales[[#This Row],[Order Date]],2)</f>
        <v>4</v>
      </c>
    </row>
    <row r="30" spans="1:14" x14ac:dyDescent="0.25">
      <c r="A30" t="s">
        <v>71</v>
      </c>
      <c r="B30" s="20">
        <v>45348</v>
      </c>
      <c r="C30" t="s">
        <v>28</v>
      </c>
      <c r="D30" t="s">
        <v>17</v>
      </c>
      <c r="E30" t="s">
        <v>41</v>
      </c>
      <c r="F30" t="s">
        <v>23</v>
      </c>
      <c r="G30">
        <v>1</v>
      </c>
      <c r="H30" s="1">
        <v>12.99</v>
      </c>
      <c r="I30" s="1">
        <v>12.99</v>
      </c>
      <c r="J30">
        <v>3</v>
      </c>
      <c r="K30" t="str">
        <f>TEXT(tbl_RawSales[[#This Row],[Order Date]],"mmm")</f>
        <v>Feb</v>
      </c>
      <c r="L30">
        <f>MONTH(tbl_RawSales[[#This Row],[Order Date]])</f>
        <v>2</v>
      </c>
      <c r="M30" t="str">
        <f>TEXT(tbl_RawSales[[#This Row],[Order Date]],"ddd")</f>
        <v>Mon</v>
      </c>
      <c r="N30">
        <f>WEEKDAY(tbl_RawSales[[#This Row],[Order Date]],2)</f>
        <v>1</v>
      </c>
    </row>
    <row r="31" spans="1:14" x14ac:dyDescent="0.25">
      <c r="A31" t="s">
        <v>72</v>
      </c>
      <c r="B31" s="20">
        <v>45523</v>
      </c>
      <c r="C31" t="s">
        <v>16</v>
      </c>
      <c r="D31" t="s">
        <v>12</v>
      </c>
      <c r="E31" t="s">
        <v>13</v>
      </c>
      <c r="F31" t="s">
        <v>14</v>
      </c>
      <c r="G31">
        <v>3</v>
      </c>
      <c r="H31" s="1">
        <v>18.989999999999998</v>
      </c>
      <c r="I31" s="1">
        <v>56.97</v>
      </c>
      <c r="J31">
        <v>4</v>
      </c>
      <c r="K31" t="str">
        <f>TEXT(tbl_RawSales[[#This Row],[Order Date]],"mmm")</f>
        <v>Aug</v>
      </c>
      <c r="L31">
        <f>MONTH(tbl_RawSales[[#This Row],[Order Date]])</f>
        <v>8</v>
      </c>
      <c r="M31" t="str">
        <f>TEXT(tbl_RawSales[[#This Row],[Order Date]],"ddd")</f>
        <v>Mon</v>
      </c>
      <c r="N31">
        <f>WEEKDAY(tbl_RawSales[[#This Row],[Order Date]],2)</f>
        <v>1</v>
      </c>
    </row>
    <row r="32" spans="1:14" x14ac:dyDescent="0.25">
      <c r="A32" t="s">
        <v>73</v>
      </c>
      <c r="B32" s="20">
        <v>45457</v>
      </c>
      <c r="C32" t="s">
        <v>32</v>
      </c>
      <c r="D32" t="s">
        <v>17</v>
      </c>
      <c r="E32" t="s">
        <v>74</v>
      </c>
      <c r="F32" t="s">
        <v>14</v>
      </c>
      <c r="G32">
        <v>2</v>
      </c>
      <c r="H32" s="1">
        <v>14.99</v>
      </c>
      <c r="I32" s="1">
        <v>29.98</v>
      </c>
      <c r="J32">
        <v>5</v>
      </c>
      <c r="K32" t="str">
        <f>TEXT(tbl_RawSales[[#This Row],[Order Date]],"mmm")</f>
        <v>Jun</v>
      </c>
      <c r="L32">
        <f>MONTH(tbl_RawSales[[#This Row],[Order Date]])</f>
        <v>6</v>
      </c>
      <c r="M32" t="str">
        <f>TEXT(tbl_RawSales[[#This Row],[Order Date]],"ddd")</f>
        <v>Fri</v>
      </c>
      <c r="N32">
        <f>WEEKDAY(tbl_RawSales[[#This Row],[Order Date]],2)</f>
        <v>5</v>
      </c>
    </row>
    <row r="33" spans="1:14" x14ac:dyDescent="0.25">
      <c r="A33" t="s">
        <v>75</v>
      </c>
      <c r="B33" s="20">
        <v>45462</v>
      </c>
      <c r="C33" t="s">
        <v>21</v>
      </c>
      <c r="D33" t="s">
        <v>12</v>
      </c>
      <c r="E33" t="s">
        <v>39</v>
      </c>
      <c r="F33" t="s">
        <v>14</v>
      </c>
      <c r="G33">
        <v>3</v>
      </c>
      <c r="H33" s="1">
        <v>24.99</v>
      </c>
      <c r="I33" s="1">
        <v>74.97</v>
      </c>
      <c r="J33">
        <v>5</v>
      </c>
      <c r="K33" t="str">
        <f>TEXT(tbl_RawSales[[#This Row],[Order Date]],"mmm")</f>
        <v>Jun</v>
      </c>
      <c r="L33">
        <f>MONTH(tbl_RawSales[[#This Row],[Order Date]])</f>
        <v>6</v>
      </c>
      <c r="M33" t="str">
        <f>TEXT(tbl_RawSales[[#This Row],[Order Date]],"ddd")</f>
        <v>Wed</v>
      </c>
      <c r="N33">
        <f>WEEKDAY(tbl_RawSales[[#This Row],[Order Date]],2)</f>
        <v>3</v>
      </c>
    </row>
    <row r="34" spans="1:14" x14ac:dyDescent="0.25">
      <c r="A34" t="s">
        <v>76</v>
      </c>
      <c r="B34" s="20">
        <v>45953</v>
      </c>
      <c r="C34" t="s">
        <v>45</v>
      </c>
      <c r="D34" t="s">
        <v>12</v>
      </c>
      <c r="E34" t="s">
        <v>57</v>
      </c>
      <c r="F34" t="s">
        <v>14</v>
      </c>
      <c r="G34">
        <v>1</v>
      </c>
      <c r="H34" s="1">
        <v>15.99</v>
      </c>
      <c r="I34" s="1">
        <v>15.99</v>
      </c>
      <c r="J34">
        <v>5</v>
      </c>
      <c r="K34" t="str">
        <f>TEXT(tbl_RawSales[[#This Row],[Order Date]],"mmm")</f>
        <v>Oct</v>
      </c>
      <c r="L34">
        <f>MONTH(tbl_RawSales[[#This Row],[Order Date]])</f>
        <v>10</v>
      </c>
      <c r="M34" t="str">
        <f>TEXT(tbl_RawSales[[#This Row],[Order Date]],"ddd")</f>
        <v>Thu</v>
      </c>
      <c r="N34">
        <f>WEEKDAY(tbl_RawSales[[#This Row],[Order Date]],2)</f>
        <v>4</v>
      </c>
    </row>
    <row r="35" spans="1:14" x14ac:dyDescent="0.25">
      <c r="A35" t="s">
        <v>77</v>
      </c>
      <c r="B35" s="20">
        <v>45910</v>
      </c>
      <c r="C35" t="s">
        <v>25</v>
      </c>
      <c r="D35" t="s">
        <v>29</v>
      </c>
      <c r="E35" t="s">
        <v>36</v>
      </c>
      <c r="F35" t="s">
        <v>14</v>
      </c>
      <c r="G35">
        <v>2</v>
      </c>
      <c r="H35" s="1">
        <v>16.989999999999998</v>
      </c>
      <c r="I35" s="1">
        <v>33.979999999999997</v>
      </c>
      <c r="J35">
        <v>4</v>
      </c>
      <c r="K35" t="str">
        <f>TEXT(tbl_RawSales[[#This Row],[Order Date]],"mmm")</f>
        <v>Sept</v>
      </c>
      <c r="L35">
        <f>MONTH(tbl_RawSales[[#This Row],[Order Date]])</f>
        <v>9</v>
      </c>
      <c r="M35" t="str">
        <f>TEXT(tbl_RawSales[[#This Row],[Order Date]],"ddd")</f>
        <v>Wed</v>
      </c>
      <c r="N35">
        <f>WEEKDAY(tbl_RawSales[[#This Row],[Order Date]],2)</f>
        <v>3</v>
      </c>
    </row>
    <row r="36" spans="1:14" x14ac:dyDescent="0.25">
      <c r="A36" t="s">
        <v>78</v>
      </c>
      <c r="B36" s="20">
        <v>45599</v>
      </c>
      <c r="C36" t="s">
        <v>21</v>
      </c>
      <c r="D36" t="s">
        <v>17</v>
      </c>
      <c r="E36" t="s">
        <v>79</v>
      </c>
      <c r="F36" t="s">
        <v>67</v>
      </c>
      <c r="G36">
        <v>1</v>
      </c>
      <c r="H36" s="1">
        <v>10.99</v>
      </c>
      <c r="I36" s="1">
        <v>10.99</v>
      </c>
      <c r="J36">
        <v>4</v>
      </c>
      <c r="K36" t="str">
        <f>TEXT(tbl_RawSales[[#This Row],[Order Date]],"mmm")</f>
        <v>Nov</v>
      </c>
      <c r="L36">
        <f>MONTH(tbl_RawSales[[#This Row],[Order Date]])</f>
        <v>11</v>
      </c>
      <c r="M36" t="str">
        <f>TEXT(tbl_RawSales[[#This Row],[Order Date]],"ddd")</f>
        <v>Sun</v>
      </c>
      <c r="N36">
        <f>WEEKDAY(tbl_RawSales[[#This Row],[Order Date]],2)</f>
        <v>7</v>
      </c>
    </row>
    <row r="37" spans="1:14" x14ac:dyDescent="0.25">
      <c r="A37" t="s">
        <v>80</v>
      </c>
      <c r="B37" s="20">
        <v>45583</v>
      </c>
      <c r="C37" t="s">
        <v>28</v>
      </c>
      <c r="D37" t="s">
        <v>29</v>
      </c>
      <c r="E37" t="s">
        <v>74</v>
      </c>
      <c r="F37" t="s">
        <v>14</v>
      </c>
      <c r="G37">
        <v>1</v>
      </c>
      <c r="H37" s="1">
        <v>14.99</v>
      </c>
      <c r="I37" s="1">
        <v>14.99</v>
      </c>
      <c r="J37">
        <v>5</v>
      </c>
      <c r="K37" t="str">
        <f>TEXT(tbl_RawSales[[#This Row],[Order Date]],"mmm")</f>
        <v>Oct</v>
      </c>
      <c r="L37">
        <f>MONTH(tbl_RawSales[[#This Row],[Order Date]])</f>
        <v>10</v>
      </c>
      <c r="M37" t="str">
        <f>TEXT(tbl_RawSales[[#This Row],[Order Date]],"ddd")</f>
        <v>Fri</v>
      </c>
      <c r="N37">
        <f>WEEKDAY(tbl_RawSales[[#This Row],[Order Date]],2)</f>
        <v>5</v>
      </c>
    </row>
    <row r="38" spans="1:14" x14ac:dyDescent="0.25">
      <c r="A38" t="s">
        <v>81</v>
      </c>
      <c r="B38" s="20">
        <v>45697</v>
      </c>
      <c r="C38" t="s">
        <v>32</v>
      </c>
      <c r="D38" t="s">
        <v>29</v>
      </c>
      <c r="E38" t="s">
        <v>50</v>
      </c>
      <c r="F38" t="s">
        <v>14</v>
      </c>
      <c r="G38">
        <v>1</v>
      </c>
      <c r="H38" s="1">
        <v>22.99</v>
      </c>
      <c r="I38" s="1">
        <v>22.99</v>
      </c>
      <c r="J38">
        <v>4</v>
      </c>
      <c r="K38" t="str">
        <f>TEXT(tbl_RawSales[[#This Row],[Order Date]],"mmm")</f>
        <v>Feb</v>
      </c>
      <c r="L38">
        <f>MONTH(tbl_RawSales[[#This Row],[Order Date]])</f>
        <v>2</v>
      </c>
      <c r="M38" t="str">
        <f>TEXT(tbl_RawSales[[#This Row],[Order Date]],"ddd")</f>
        <v>Sun</v>
      </c>
      <c r="N38">
        <f>WEEKDAY(tbl_RawSales[[#This Row],[Order Date]],2)</f>
        <v>7</v>
      </c>
    </row>
    <row r="39" spans="1:14" x14ac:dyDescent="0.25">
      <c r="A39" t="s">
        <v>82</v>
      </c>
      <c r="B39" s="20">
        <v>45643</v>
      </c>
      <c r="C39" t="s">
        <v>34</v>
      </c>
      <c r="D39" t="s">
        <v>29</v>
      </c>
      <c r="E39" t="s">
        <v>83</v>
      </c>
      <c r="F39" t="s">
        <v>14</v>
      </c>
      <c r="G39">
        <v>2</v>
      </c>
      <c r="H39" s="1">
        <v>17.989999999999998</v>
      </c>
      <c r="I39" s="1">
        <v>35.979999999999997</v>
      </c>
      <c r="J39">
        <v>5</v>
      </c>
      <c r="K39" t="str">
        <f>TEXT(tbl_RawSales[[#This Row],[Order Date]],"mmm")</f>
        <v>Dec</v>
      </c>
      <c r="L39">
        <f>MONTH(tbl_RawSales[[#This Row],[Order Date]])</f>
        <v>12</v>
      </c>
      <c r="M39" t="str">
        <f>TEXT(tbl_RawSales[[#This Row],[Order Date]],"ddd")</f>
        <v>Tue</v>
      </c>
      <c r="N39">
        <f>WEEKDAY(tbl_RawSales[[#This Row],[Order Date]],2)</f>
        <v>2</v>
      </c>
    </row>
    <row r="40" spans="1:14" x14ac:dyDescent="0.25">
      <c r="A40" t="s">
        <v>84</v>
      </c>
      <c r="B40" s="20">
        <v>45798</v>
      </c>
      <c r="C40" t="s">
        <v>16</v>
      </c>
      <c r="D40" t="s">
        <v>17</v>
      </c>
      <c r="E40" t="s">
        <v>43</v>
      </c>
      <c r="F40" t="s">
        <v>23</v>
      </c>
      <c r="G40">
        <v>3</v>
      </c>
      <c r="H40" s="1">
        <v>11.99</v>
      </c>
      <c r="I40" s="1">
        <v>35.97</v>
      </c>
      <c r="J40">
        <v>4</v>
      </c>
      <c r="K40" t="str">
        <f>TEXT(tbl_RawSales[[#This Row],[Order Date]],"mmm")</f>
        <v>May</v>
      </c>
      <c r="L40">
        <f>MONTH(tbl_RawSales[[#This Row],[Order Date]])</f>
        <v>5</v>
      </c>
      <c r="M40" t="str">
        <f>TEXT(tbl_RawSales[[#This Row],[Order Date]],"ddd")</f>
        <v>Wed</v>
      </c>
      <c r="N40">
        <f>WEEKDAY(tbl_RawSales[[#This Row],[Order Date]],2)</f>
        <v>3</v>
      </c>
    </row>
    <row r="41" spans="1:14" x14ac:dyDescent="0.25">
      <c r="A41" t="s">
        <v>85</v>
      </c>
      <c r="B41" s="20">
        <v>45885</v>
      </c>
      <c r="C41" t="s">
        <v>28</v>
      </c>
      <c r="D41" t="s">
        <v>17</v>
      </c>
      <c r="E41" t="s">
        <v>22</v>
      </c>
      <c r="F41" t="s">
        <v>23</v>
      </c>
      <c r="G41">
        <v>1</v>
      </c>
      <c r="H41" s="1">
        <v>8.99</v>
      </c>
      <c r="I41" s="1">
        <v>8.99</v>
      </c>
      <c r="J41">
        <v>5</v>
      </c>
      <c r="K41" t="str">
        <f>TEXT(tbl_RawSales[[#This Row],[Order Date]],"mmm")</f>
        <v>Aug</v>
      </c>
      <c r="L41">
        <f>MONTH(tbl_RawSales[[#This Row],[Order Date]])</f>
        <v>8</v>
      </c>
      <c r="M41" t="str">
        <f>TEXT(tbl_RawSales[[#This Row],[Order Date]],"ddd")</f>
        <v>Sat</v>
      </c>
      <c r="N41">
        <f>WEEKDAY(tbl_RawSales[[#This Row],[Order Date]],2)</f>
        <v>6</v>
      </c>
    </row>
    <row r="42" spans="1:14" x14ac:dyDescent="0.25">
      <c r="A42" t="s">
        <v>86</v>
      </c>
      <c r="B42" s="20">
        <v>45361</v>
      </c>
      <c r="C42" t="s">
        <v>32</v>
      </c>
      <c r="D42" t="s">
        <v>29</v>
      </c>
      <c r="E42" t="s">
        <v>62</v>
      </c>
      <c r="F42" t="s">
        <v>23</v>
      </c>
      <c r="G42">
        <v>1</v>
      </c>
      <c r="H42" s="1">
        <v>9.99</v>
      </c>
      <c r="I42" s="1">
        <v>9.99</v>
      </c>
      <c r="J42">
        <v>4</v>
      </c>
      <c r="K42" t="str">
        <f>TEXT(tbl_RawSales[[#This Row],[Order Date]],"mmm")</f>
        <v>Mar</v>
      </c>
      <c r="L42">
        <f>MONTH(tbl_RawSales[[#This Row],[Order Date]])</f>
        <v>3</v>
      </c>
      <c r="M42" t="str">
        <f>TEXT(tbl_RawSales[[#This Row],[Order Date]],"ddd")</f>
        <v>Sun</v>
      </c>
      <c r="N42">
        <f>WEEKDAY(tbl_RawSales[[#This Row],[Order Date]],2)</f>
        <v>7</v>
      </c>
    </row>
    <row r="43" spans="1:14" x14ac:dyDescent="0.25">
      <c r="A43" t="s">
        <v>87</v>
      </c>
      <c r="B43" s="20">
        <v>45970</v>
      </c>
      <c r="C43" t="s">
        <v>21</v>
      </c>
      <c r="D43" t="s">
        <v>17</v>
      </c>
      <c r="E43" t="s">
        <v>22</v>
      </c>
      <c r="F43" t="s">
        <v>23</v>
      </c>
      <c r="G43">
        <v>1</v>
      </c>
      <c r="H43" s="1">
        <v>8.99</v>
      </c>
      <c r="I43" s="1">
        <v>8.99</v>
      </c>
      <c r="J43">
        <v>5</v>
      </c>
      <c r="K43" t="str">
        <f>TEXT(tbl_RawSales[[#This Row],[Order Date]],"mmm")</f>
        <v>Nov</v>
      </c>
      <c r="L43">
        <f>MONTH(tbl_RawSales[[#This Row],[Order Date]])</f>
        <v>11</v>
      </c>
      <c r="M43" t="str">
        <f>TEXT(tbl_RawSales[[#This Row],[Order Date]],"ddd")</f>
        <v>Sun</v>
      </c>
      <c r="N43">
        <f>WEEKDAY(tbl_RawSales[[#This Row],[Order Date]],2)</f>
        <v>7</v>
      </c>
    </row>
    <row r="44" spans="1:14" x14ac:dyDescent="0.25">
      <c r="A44" t="s">
        <v>88</v>
      </c>
      <c r="B44" s="20">
        <v>45963</v>
      </c>
      <c r="C44" t="s">
        <v>11</v>
      </c>
      <c r="D44" t="s">
        <v>29</v>
      </c>
      <c r="E44" t="s">
        <v>79</v>
      </c>
      <c r="F44" t="s">
        <v>67</v>
      </c>
      <c r="G44">
        <v>1</v>
      </c>
      <c r="H44" s="1">
        <v>10.99</v>
      </c>
      <c r="I44" s="1">
        <v>10.99</v>
      </c>
      <c r="J44">
        <v>4</v>
      </c>
      <c r="K44" t="str">
        <f>TEXT(tbl_RawSales[[#This Row],[Order Date]],"mmm")</f>
        <v>Nov</v>
      </c>
      <c r="L44">
        <f>MONTH(tbl_RawSales[[#This Row],[Order Date]])</f>
        <v>11</v>
      </c>
      <c r="M44" t="str">
        <f>TEXT(tbl_RawSales[[#This Row],[Order Date]],"ddd")</f>
        <v>Sun</v>
      </c>
      <c r="N44">
        <f>WEEKDAY(tbl_RawSales[[#This Row],[Order Date]],2)</f>
        <v>7</v>
      </c>
    </row>
    <row r="45" spans="1:14" x14ac:dyDescent="0.25">
      <c r="A45" t="s">
        <v>89</v>
      </c>
      <c r="B45" s="20">
        <v>45750</v>
      </c>
      <c r="C45" t="s">
        <v>25</v>
      </c>
      <c r="D45" t="s">
        <v>12</v>
      </c>
      <c r="E45" t="s">
        <v>79</v>
      </c>
      <c r="F45" t="s">
        <v>67</v>
      </c>
      <c r="G45">
        <v>1</v>
      </c>
      <c r="H45" s="1">
        <v>10.99</v>
      </c>
      <c r="I45" s="1">
        <v>10.99</v>
      </c>
      <c r="J45">
        <v>4</v>
      </c>
      <c r="K45" t="str">
        <f>TEXT(tbl_RawSales[[#This Row],[Order Date]],"mmm")</f>
        <v>Apr</v>
      </c>
      <c r="L45">
        <f>MONTH(tbl_RawSales[[#This Row],[Order Date]])</f>
        <v>4</v>
      </c>
      <c r="M45" t="str">
        <f>TEXT(tbl_RawSales[[#This Row],[Order Date]],"ddd")</f>
        <v>Thu</v>
      </c>
      <c r="N45">
        <f>WEEKDAY(tbl_RawSales[[#This Row],[Order Date]],2)</f>
        <v>4</v>
      </c>
    </row>
    <row r="46" spans="1:14" x14ac:dyDescent="0.25">
      <c r="A46" t="s">
        <v>90</v>
      </c>
      <c r="B46" s="20">
        <v>45572</v>
      </c>
      <c r="C46" t="s">
        <v>45</v>
      </c>
      <c r="D46" t="s">
        <v>29</v>
      </c>
      <c r="E46" t="s">
        <v>55</v>
      </c>
      <c r="F46" t="s">
        <v>23</v>
      </c>
      <c r="G46">
        <v>2</v>
      </c>
      <c r="H46" s="1">
        <v>10.99</v>
      </c>
      <c r="I46" s="1">
        <v>21.98</v>
      </c>
      <c r="J46">
        <v>5</v>
      </c>
      <c r="K46" t="str">
        <f>TEXT(tbl_RawSales[[#This Row],[Order Date]],"mmm")</f>
        <v>Oct</v>
      </c>
      <c r="L46">
        <f>MONTH(tbl_RawSales[[#This Row],[Order Date]])</f>
        <v>10</v>
      </c>
      <c r="M46" t="str">
        <f>TEXT(tbl_RawSales[[#This Row],[Order Date]],"ddd")</f>
        <v>Mon</v>
      </c>
      <c r="N46">
        <f>WEEKDAY(tbl_RawSales[[#This Row],[Order Date]],2)</f>
        <v>1</v>
      </c>
    </row>
    <row r="47" spans="1:14" x14ac:dyDescent="0.25">
      <c r="A47" t="s">
        <v>91</v>
      </c>
      <c r="B47" s="20">
        <v>45800</v>
      </c>
      <c r="C47" t="s">
        <v>32</v>
      </c>
      <c r="D47" t="s">
        <v>29</v>
      </c>
      <c r="E47" t="s">
        <v>62</v>
      </c>
      <c r="F47" t="s">
        <v>23</v>
      </c>
      <c r="G47">
        <v>1</v>
      </c>
      <c r="H47" s="1">
        <v>9.99</v>
      </c>
      <c r="I47" s="1">
        <v>9.99</v>
      </c>
      <c r="J47">
        <v>5</v>
      </c>
      <c r="K47" t="str">
        <f>TEXT(tbl_RawSales[[#This Row],[Order Date]],"mmm")</f>
        <v>May</v>
      </c>
      <c r="L47">
        <f>MONTH(tbl_RawSales[[#This Row],[Order Date]])</f>
        <v>5</v>
      </c>
      <c r="M47" t="str">
        <f>TEXT(tbl_RawSales[[#This Row],[Order Date]],"ddd")</f>
        <v>Fri</v>
      </c>
      <c r="N47">
        <f>WEEKDAY(tbl_RawSales[[#This Row],[Order Date]],2)</f>
        <v>5</v>
      </c>
    </row>
    <row r="48" spans="1:14" x14ac:dyDescent="0.25">
      <c r="A48" t="s">
        <v>92</v>
      </c>
      <c r="B48" s="20">
        <v>45720</v>
      </c>
      <c r="C48" t="s">
        <v>32</v>
      </c>
      <c r="D48" t="s">
        <v>29</v>
      </c>
      <c r="E48" t="s">
        <v>43</v>
      </c>
      <c r="F48" t="s">
        <v>23</v>
      </c>
      <c r="G48">
        <v>2</v>
      </c>
      <c r="H48" s="1">
        <v>11.99</v>
      </c>
      <c r="I48" s="1">
        <v>23.98</v>
      </c>
      <c r="J48">
        <v>5</v>
      </c>
      <c r="K48" t="str">
        <f>TEXT(tbl_RawSales[[#This Row],[Order Date]],"mmm")</f>
        <v>Mar</v>
      </c>
      <c r="L48">
        <f>MONTH(tbl_RawSales[[#This Row],[Order Date]])</f>
        <v>3</v>
      </c>
      <c r="M48" t="str">
        <f>TEXT(tbl_RawSales[[#This Row],[Order Date]],"ddd")</f>
        <v>Tue</v>
      </c>
      <c r="N48">
        <f>WEEKDAY(tbl_RawSales[[#This Row],[Order Date]],2)</f>
        <v>2</v>
      </c>
    </row>
    <row r="49" spans="1:14" x14ac:dyDescent="0.25">
      <c r="A49" t="s">
        <v>93</v>
      </c>
      <c r="B49" s="20">
        <v>45382</v>
      </c>
      <c r="C49" t="s">
        <v>32</v>
      </c>
      <c r="D49" t="s">
        <v>12</v>
      </c>
      <c r="E49" t="s">
        <v>39</v>
      </c>
      <c r="F49" t="s">
        <v>14</v>
      </c>
      <c r="G49">
        <v>1</v>
      </c>
      <c r="H49" s="1">
        <v>24.99</v>
      </c>
      <c r="I49" s="1">
        <v>24.99</v>
      </c>
      <c r="J49">
        <v>4</v>
      </c>
      <c r="K49" t="str">
        <f>TEXT(tbl_RawSales[[#This Row],[Order Date]],"mmm")</f>
        <v>Mar</v>
      </c>
      <c r="L49">
        <f>MONTH(tbl_RawSales[[#This Row],[Order Date]])</f>
        <v>3</v>
      </c>
      <c r="M49" t="str">
        <f>TEXT(tbl_RawSales[[#This Row],[Order Date]],"ddd")</f>
        <v>Sun</v>
      </c>
      <c r="N49">
        <f>WEEKDAY(tbl_RawSales[[#This Row],[Order Date]],2)</f>
        <v>7</v>
      </c>
    </row>
    <row r="50" spans="1:14" x14ac:dyDescent="0.25">
      <c r="A50" t="s">
        <v>94</v>
      </c>
      <c r="B50" s="20">
        <v>45609</v>
      </c>
      <c r="C50" t="s">
        <v>38</v>
      </c>
      <c r="D50" t="s">
        <v>29</v>
      </c>
      <c r="E50" t="s">
        <v>46</v>
      </c>
      <c r="F50" t="s">
        <v>14</v>
      </c>
      <c r="G50">
        <v>1</v>
      </c>
      <c r="H50" s="1">
        <v>32.99</v>
      </c>
      <c r="I50" s="1">
        <v>32.99</v>
      </c>
      <c r="J50">
        <v>5</v>
      </c>
      <c r="K50" t="str">
        <f>TEXT(tbl_RawSales[[#This Row],[Order Date]],"mmm")</f>
        <v>Nov</v>
      </c>
      <c r="L50">
        <f>MONTH(tbl_RawSales[[#This Row],[Order Date]])</f>
        <v>11</v>
      </c>
      <c r="M50" t="str">
        <f>TEXT(tbl_RawSales[[#This Row],[Order Date]],"ddd")</f>
        <v>Wed</v>
      </c>
      <c r="N50">
        <f>WEEKDAY(tbl_RawSales[[#This Row],[Order Date]],2)</f>
        <v>3</v>
      </c>
    </row>
    <row r="51" spans="1:14" x14ac:dyDescent="0.25">
      <c r="A51" t="s">
        <v>95</v>
      </c>
      <c r="B51" s="20">
        <v>45343</v>
      </c>
      <c r="C51" t="s">
        <v>45</v>
      </c>
      <c r="D51" t="s">
        <v>12</v>
      </c>
      <c r="E51" t="s">
        <v>62</v>
      </c>
      <c r="F51" t="s">
        <v>23</v>
      </c>
      <c r="G51">
        <v>1</v>
      </c>
      <c r="H51" s="1">
        <v>9.99</v>
      </c>
      <c r="I51" s="1">
        <v>9.99</v>
      </c>
      <c r="J51">
        <v>3</v>
      </c>
      <c r="K51" t="str">
        <f>TEXT(tbl_RawSales[[#This Row],[Order Date]],"mmm")</f>
        <v>Feb</v>
      </c>
      <c r="L51">
        <f>MONTH(tbl_RawSales[[#This Row],[Order Date]])</f>
        <v>2</v>
      </c>
      <c r="M51" t="str">
        <f>TEXT(tbl_RawSales[[#This Row],[Order Date]],"ddd")</f>
        <v>Wed</v>
      </c>
      <c r="N51">
        <f>WEEKDAY(tbl_RawSales[[#This Row],[Order Date]],2)</f>
        <v>3</v>
      </c>
    </row>
    <row r="52" spans="1:14" x14ac:dyDescent="0.25">
      <c r="A52" t="s">
        <v>96</v>
      </c>
      <c r="B52" s="20">
        <v>45908</v>
      </c>
      <c r="C52" t="s">
        <v>97</v>
      </c>
      <c r="D52" t="s">
        <v>29</v>
      </c>
      <c r="E52" t="s">
        <v>18</v>
      </c>
      <c r="F52" t="s">
        <v>19</v>
      </c>
      <c r="G52">
        <v>1</v>
      </c>
      <c r="H52" s="1">
        <v>9.99</v>
      </c>
      <c r="I52" s="1">
        <v>9.99</v>
      </c>
      <c r="J52">
        <v>5</v>
      </c>
      <c r="K52" t="str">
        <f>TEXT(tbl_RawSales[[#This Row],[Order Date]],"mmm")</f>
        <v>Sept</v>
      </c>
      <c r="L52">
        <f>MONTH(tbl_RawSales[[#This Row],[Order Date]])</f>
        <v>9</v>
      </c>
      <c r="M52" t="str">
        <f>TEXT(tbl_RawSales[[#This Row],[Order Date]],"ddd")</f>
        <v>Mon</v>
      </c>
      <c r="N52">
        <f>WEEKDAY(tbl_RawSales[[#This Row],[Order Date]],2)</f>
        <v>1</v>
      </c>
    </row>
    <row r="53" spans="1:14" x14ac:dyDescent="0.25">
      <c r="A53" t="s">
        <v>98</v>
      </c>
      <c r="B53" s="20">
        <v>45553</v>
      </c>
      <c r="C53" t="s">
        <v>38</v>
      </c>
      <c r="D53" t="s">
        <v>12</v>
      </c>
      <c r="E53" t="s">
        <v>36</v>
      </c>
      <c r="F53" t="s">
        <v>14</v>
      </c>
      <c r="G53">
        <v>1</v>
      </c>
      <c r="H53" s="1">
        <v>16.989999999999998</v>
      </c>
      <c r="I53" s="1">
        <v>16.989999999999998</v>
      </c>
      <c r="J53">
        <v>3</v>
      </c>
      <c r="K53" t="str">
        <f>TEXT(tbl_RawSales[[#This Row],[Order Date]],"mmm")</f>
        <v>Sept</v>
      </c>
      <c r="L53">
        <f>MONTH(tbl_RawSales[[#This Row],[Order Date]])</f>
        <v>9</v>
      </c>
      <c r="M53" t="str">
        <f>TEXT(tbl_RawSales[[#This Row],[Order Date]],"ddd")</f>
        <v>Wed</v>
      </c>
      <c r="N53">
        <f>WEEKDAY(tbl_RawSales[[#This Row],[Order Date]],2)</f>
        <v>3</v>
      </c>
    </row>
    <row r="54" spans="1:14" x14ac:dyDescent="0.25">
      <c r="A54" t="s">
        <v>99</v>
      </c>
      <c r="B54" s="20">
        <v>45304</v>
      </c>
      <c r="C54" t="s">
        <v>34</v>
      </c>
      <c r="D54" t="s">
        <v>17</v>
      </c>
      <c r="E54" t="s">
        <v>43</v>
      </c>
      <c r="F54" t="s">
        <v>23</v>
      </c>
      <c r="G54">
        <v>3</v>
      </c>
      <c r="H54" s="1">
        <v>11.99</v>
      </c>
      <c r="I54" s="1">
        <v>35.97</v>
      </c>
      <c r="J54">
        <v>4</v>
      </c>
      <c r="K54" t="str">
        <f>TEXT(tbl_RawSales[[#This Row],[Order Date]],"mmm")</f>
        <v>Jan</v>
      </c>
      <c r="L54">
        <f>MONTH(tbl_RawSales[[#This Row],[Order Date]])</f>
        <v>1</v>
      </c>
      <c r="M54" t="str">
        <f>TEXT(tbl_RawSales[[#This Row],[Order Date]],"ddd")</f>
        <v>Sat</v>
      </c>
      <c r="N54">
        <f>WEEKDAY(tbl_RawSales[[#This Row],[Order Date]],2)</f>
        <v>6</v>
      </c>
    </row>
    <row r="55" spans="1:14" x14ac:dyDescent="0.25">
      <c r="A55" t="s">
        <v>100</v>
      </c>
      <c r="B55" s="20">
        <v>45573</v>
      </c>
      <c r="C55" t="s">
        <v>97</v>
      </c>
      <c r="D55" t="s">
        <v>29</v>
      </c>
      <c r="E55" t="s">
        <v>36</v>
      </c>
      <c r="F55" t="s">
        <v>14</v>
      </c>
      <c r="G55">
        <v>1</v>
      </c>
      <c r="H55" s="1">
        <v>16.989999999999998</v>
      </c>
      <c r="I55" s="1">
        <v>16.989999999999998</v>
      </c>
      <c r="J55">
        <v>4</v>
      </c>
      <c r="K55" t="str">
        <f>TEXT(tbl_RawSales[[#This Row],[Order Date]],"mmm")</f>
        <v>Oct</v>
      </c>
      <c r="L55">
        <f>MONTH(tbl_RawSales[[#This Row],[Order Date]])</f>
        <v>10</v>
      </c>
      <c r="M55" t="str">
        <f>TEXT(tbl_RawSales[[#This Row],[Order Date]],"ddd")</f>
        <v>Tue</v>
      </c>
      <c r="N55">
        <f>WEEKDAY(tbl_RawSales[[#This Row],[Order Date]],2)</f>
        <v>2</v>
      </c>
    </row>
    <row r="56" spans="1:14" x14ac:dyDescent="0.25">
      <c r="A56" t="s">
        <v>101</v>
      </c>
      <c r="B56" s="20">
        <v>45956</v>
      </c>
      <c r="C56" t="s">
        <v>16</v>
      </c>
      <c r="D56" t="s">
        <v>12</v>
      </c>
      <c r="E56" t="s">
        <v>83</v>
      </c>
      <c r="F56" t="s">
        <v>14</v>
      </c>
      <c r="G56">
        <v>1</v>
      </c>
      <c r="H56" s="1">
        <v>17.989999999999998</v>
      </c>
      <c r="I56" s="1">
        <v>17.989999999999998</v>
      </c>
      <c r="J56">
        <v>5</v>
      </c>
      <c r="K56" t="str">
        <f>TEXT(tbl_RawSales[[#This Row],[Order Date]],"mmm")</f>
        <v>Oct</v>
      </c>
      <c r="L56">
        <f>MONTH(tbl_RawSales[[#This Row],[Order Date]])</f>
        <v>10</v>
      </c>
      <c r="M56" t="str">
        <f>TEXT(tbl_RawSales[[#This Row],[Order Date]],"ddd")</f>
        <v>Sun</v>
      </c>
      <c r="N56">
        <f>WEEKDAY(tbl_RawSales[[#This Row],[Order Date]],2)</f>
        <v>7</v>
      </c>
    </row>
    <row r="57" spans="1:14" x14ac:dyDescent="0.25">
      <c r="A57" t="s">
        <v>102</v>
      </c>
      <c r="B57" s="20">
        <v>45306</v>
      </c>
      <c r="C57" t="s">
        <v>16</v>
      </c>
      <c r="D57" t="s">
        <v>29</v>
      </c>
      <c r="E57" t="s">
        <v>69</v>
      </c>
      <c r="F57" t="s">
        <v>67</v>
      </c>
      <c r="G57">
        <v>1</v>
      </c>
      <c r="H57" s="1">
        <v>8.99</v>
      </c>
      <c r="I57" s="1">
        <v>8.99</v>
      </c>
      <c r="J57">
        <v>5</v>
      </c>
      <c r="K57" t="str">
        <f>TEXT(tbl_RawSales[[#This Row],[Order Date]],"mmm")</f>
        <v>Jan</v>
      </c>
      <c r="L57">
        <f>MONTH(tbl_RawSales[[#This Row],[Order Date]])</f>
        <v>1</v>
      </c>
      <c r="M57" t="str">
        <f>TEXT(tbl_RawSales[[#This Row],[Order Date]],"ddd")</f>
        <v>Mon</v>
      </c>
      <c r="N57">
        <f>WEEKDAY(tbl_RawSales[[#This Row],[Order Date]],2)</f>
        <v>1</v>
      </c>
    </row>
    <row r="58" spans="1:14" x14ac:dyDescent="0.25">
      <c r="A58" t="s">
        <v>103</v>
      </c>
      <c r="B58" s="20">
        <v>46018</v>
      </c>
      <c r="C58" t="s">
        <v>21</v>
      </c>
      <c r="D58" t="s">
        <v>29</v>
      </c>
      <c r="E58" t="s">
        <v>22</v>
      </c>
      <c r="F58" t="s">
        <v>23</v>
      </c>
      <c r="G58">
        <v>2</v>
      </c>
      <c r="H58" s="1">
        <v>8.99</v>
      </c>
      <c r="I58" s="1">
        <v>17.98</v>
      </c>
      <c r="J58">
        <v>4</v>
      </c>
      <c r="K58" t="str">
        <f>TEXT(tbl_RawSales[[#This Row],[Order Date]],"mmm")</f>
        <v>Dec</v>
      </c>
      <c r="L58">
        <f>MONTH(tbl_RawSales[[#This Row],[Order Date]])</f>
        <v>12</v>
      </c>
      <c r="M58" t="str">
        <f>TEXT(tbl_RawSales[[#This Row],[Order Date]],"ddd")</f>
        <v>Sat</v>
      </c>
      <c r="N58">
        <f>WEEKDAY(tbl_RawSales[[#This Row],[Order Date]],2)</f>
        <v>6</v>
      </c>
    </row>
    <row r="59" spans="1:14" x14ac:dyDescent="0.25">
      <c r="A59" t="s">
        <v>104</v>
      </c>
      <c r="B59" s="20">
        <v>45566</v>
      </c>
      <c r="C59" t="s">
        <v>28</v>
      </c>
      <c r="D59" t="s">
        <v>12</v>
      </c>
      <c r="E59" t="s">
        <v>79</v>
      </c>
      <c r="F59" t="s">
        <v>67</v>
      </c>
      <c r="G59">
        <v>3</v>
      </c>
      <c r="H59" s="1">
        <v>10.99</v>
      </c>
      <c r="I59" s="1">
        <v>32.97</v>
      </c>
      <c r="J59">
        <v>4</v>
      </c>
      <c r="K59" t="str">
        <f>TEXT(tbl_RawSales[[#This Row],[Order Date]],"mmm")</f>
        <v>Oct</v>
      </c>
      <c r="L59">
        <f>MONTH(tbl_RawSales[[#This Row],[Order Date]])</f>
        <v>10</v>
      </c>
      <c r="M59" t="str">
        <f>TEXT(tbl_RawSales[[#This Row],[Order Date]],"ddd")</f>
        <v>Tue</v>
      </c>
      <c r="N59">
        <f>WEEKDAY(tbl_RawSales[[#This Row],[Order Date]],2)</f>
        <v>2</v>
      </c>
    </row>
    <row r="60" spans="1:14" x14ac:dyDescent="0.25">
      <c r="A60" t="s">
        <v>105</v>
      </c>
      <c r="B60" s="20">
        <v>45355</v>
      </c>
      <c r="C60" t="s">
        <v>28</v>
      </c>
      <c r="D60" t="s">
        <v>12</v>
      </c>
      <c r="E60" t="s">
        <v>36</v>
      </c>
      <c r="F60" t="s">
        <v>14</v>
      </c>
      <c r="G60">
        <v>3</v>
      </c>
      <c r="H60" s="1">
        <v>16.989999999999998</v>
      </c>
      <c r="I60" s="1">
        <v>50.97</v>
      </c>
      <c r="J60">
        <v>5</v>
      </c>
      <c r="K60" t="str">
        <f>TEXT(tbl_RawSales[[#This Row],[Order Date]],"mmm")</f>
        <v>Mar</v>
      </c>
      <c r="L60">
        <f>MONTH(tbl_RawSales[[#This Row],[Order Date]])</f>
        <v>3</v>
      </c>
      <c r="M60" t="str">
        <f>TEXT(tbl_RawSales[[#This Row],[Order Date]],"ddd")</f>
        <v>Mon</v>
      </c>
      <c r="N60">
        <f>WEEKDAY(tbl_RawSales[[#This Row],[Order Date]],2)</f>
        <v>1</v>
      </c>
    </row>
    <row r="61" spans="1:14" x14ac:dyDescent="0.25">
      <c r="A61" t="s">
        <v>106</v>
      </c>
      <c r="B61" s="20">
        <v>45304</v>
      </c>
      <c r="C61" t="s">
        <v>28</v>
      </c>
      <c r="D61" t="s">
        <v>29</v>
      </c>
      <c r="E61" t="s">
        <v>55</v>
      </c>
      <c r="F61" t="s">
        <v>23</v>
      </c>
      <c r="G61">
        <v>3</v>
      </c>
      <c r="H61" s="1">
        <v>10.99</v>
      </c>
      <c r="I61" s="1">
        <v>32.97</v>
      </c>
      <c r="J61">
        <v>4</v>
      </c>
      <c r="K61" t="str">
        <f>TEXT(tbl_RawSales[[#This Row],[Order Date]],"mmm")</f>
        <v>Jan</v>
      </c>
      <c r="L61">
        <f>MONTH(tbl_RawSales[[#This Row],[Order Date]])</f>
        <v>1</v>
      </c>
      <c r="M61" t="str">
        <f>TEXT(tbl_RawSales[[#This Row],[Order Date]],"ddd")</f>
        <v>Sat</v>
      </c>
      <c r="N61">
        <f>WEEKDAY(tbl_RawSales[[#This Row],[Order Date]],2)</f>
        <v>6</v>
      </c>
    </row>
    <row r="62" spans="1:14" x14ac:dyDescent="0.25">
      <c r="A62" t="s">
        <v>107</v>
      </c>
      <c r="B62" s="20">
        <v>45812</v>
      </c>
      <c r="C62" t="s">
        <v>34</v>
      </c>
      <c r="D62" t="s">
        <v>12</v>
      </c>
      <c r="E62" t="s">
        <v>13</v>
      </c>
      <c r="F62" t="s">
        <v>14</v>
      </c>
      <c r="G62">
        <v>3</v>
      </c>
      <c r="H62" s="1">
        <v>18.989999999999998</v>
      </c>
      <c r="I62" s="1">
        <v>56.97</v>
      </c>
      <c r="J62">
        <v>4</v>
      </c>
      <c r="K62" t="str">
        <f>TEXT(tbl_RawSales[[#This Row],[Order Date]],"mmm")</f>
        <v>Jun</v>
      </c>
      <c r="L62">
        <f>MONTH(tbl_RawSales[[#This Row],[Order Date]])</f>
        <v>6</v>
      </c>
      <c r="M62" t="str">
        <f>TEXT(tbl_RawSales[[#This Row],[Order Date]],"ddd")</f>
        <v>Wed</v>
      </c>
      <c r="N62">
        <f>WEEKDAY(tbl_RawSales[[#This Row],[Order Date]],2)</f>
        <v>3</v>
      </c>
    </row>
    <row r="63" spans="1:14" x14ac:dyDescent="0.25">
      <c r="A63" t="s">
        <v>108</v>
      </c>
      <c r="B63" s="20">
        <v>45681</v>
      </c>
      <c r="C63" t="s">
        <v>21</v>
      </c>
      <c r="D63" t="s">
        <v>12</v>
      </c>
      <c r="E63" t="s">
        <v>52</v>
      </c>
      <c r="F63" t="s">
        <v>19</v>
      </c>
      <c r="G63">
        <v>2</v>
      </c>
      <c r="H63" s="1">
        <v>6.99</v>
      </c>
      <c r="I63" s="1">
        <v>13.98</v>
      </c>
      <c r="J63">
        <v>4</v>
      </c>
      <c r="K63" t="str">
        <f>TEXT(tbl_RawSales[[#This Row],[Order Date]],"mmm")</f>
        <v>Jan</v>
      </c>
      <c r="L63">
        <f>MONTH(tbl_RawSales[[#This Row],[Order Date]])</f>
        <v>1</v>
      </c>
      <c r="M63" t="str">
        <f>TEXT(tbl_RawSales[[#This Row],[Order Date]],"ddd")</f>
        <v>Fri</v>
      </c>
      <c r="N63">
        <f>WEEKDAY(tbl_RawSales[[#This Row],[Order Date]],2)</f>
        <v>5</v>
      </c>
    </row>
    <row r="64" spans="1:14" x14ac:dyDescent="0.25">
      <c r="A64" t="s">
        <v>109</v>
      </c>
      <c r="B64" s="20">
        <v>45359</v>
      </c>
      <c r="C64" t="s">
        <v>16</v>
      </c>
      <c r="D64" t="s">
        <v>29</v>
      </c>
      <c r="E64" t="s">
        <v>13</v>
      </c>
      <c r="F64" t="s">
        <v>14</v>
      </c>
      <c r="G64">
        <v>2</v>
      </c>
      <c r="H64" s="1">
        <v>18.989999999999998</v>
      </c>
      <c r="I64" s="1">
        <v>37.979999999999997</v>
      </c>
      <c r="J64">
        <v>3</v>
      </c>
      <c r="K64" t="str">
        <f>TEXT(tbl_RawSales[[#This Row],[Order Date]],"mmm")</f>
        <v>Mar</v>
      </c>
      <c r="L64">
        <f>MONTH(tbl_RawSales[[#This Row],[Order Date]])</f>
        <v>3</v>
      </c>
      <c r="M64" t="str">
        <f>TEXT(tbl_RawSales[[#This Row],[Order Date]],"ddd")</f>
        <v>Fri</v>
      </c>
      <c r="N64">
        <f>WEEKDAY(tbl_RawSales[[#This Row],[Order Date]],2)</f>
        <v>5</v>
      </c>
    </row>
    <row r="65" spans="1:14" x14ac:dyDescent="0.25">
      <c r="A65" t="s">
        <v>110</v>
      </c>
      <c r="B65" s="20">
        <v>45684</v>
      </c>
      <c r="C65" t="s">
        <v>28</v>
      </c>
      <c r="D65" t="s">
        <v>17</v>
      </c>
      <c r="E65" t="s">
        <v>57</v>
      </c>
      <c r="F65" t="s">
        <v>14</v>
      </c>
      <c r="G65">
        <v>1</v>
      </c>
      <c r="H65" s="1">
        <v>15.99</v>
      </c>
      <c r="I65" s="1">
        <v>15.99</v>
      </c>
      <c r="J65">
        <v>2</v>
      </c>
      <c r="K65" t="str">
        <f>TEXT(tbl_RawSales[[#This Row],[Order Date]],"mmm")</f>
        <v>Jan</v>
      </c>
      <c r="L65">
        <f>MONTH(tbl_RawSales[[#This Row],[Order Date]])</f>
        <v>1</v>
      </c>
      <c r="M65" t="str">
        <f>TEXT(tbl_RawSales[[#This Row],[Order Date]],"ddd")</f>
        <v>Mon</v>
      </c>
      <c r="N65">
        <f>WEEKDAY(tbl_RawSales[[#This Row],[Order Date]],2)</f>
        <v>1</v>
      </c>
    </row>
    <row r="66" spans="1:14" x14ac:dyDescent="0.25">
      <c r="A66" t="s">
        <v>111</v>
      </c>
      <c r="B66" s="20">
        <v>45715</v>
      </c>
      <c r="C66" t="s">
        <v>45</v>
      </c>
      <c r="D66" t="s">
        <v>17</v>
      </c>
      <c r="E66" t="s">
        <v>112</v>
      </c>
      <c r="F66" t="s">
        <v>19</v>
      </c>
      <c r="G66">
        <v>2</v>
      </c>
      <c r="H66" s="1">
        <v>5.99</v>
      </c>
      <c r="I66" s="1">
        <v>11.98</v>
      </c>
      <c r="J66">
        <v>4</v>
      </c>
      <c r="K66" t="str">
        <f>TEXT(tbl_RawSales[[#This Row],[Order Date]],"mmm")</f>
        <v>Feb</v>
      </c>
      <c r="L66">
        <f>MONTH(tbl_RawSales[[#This Row],[Order Date]])</f>
        <v>2</v>
      </c>
      <c r="M66" t="str">
        <f>TEXT(tbl_RawSales[[#This Row],[Order Date]],"ddd")</f>
        <v>Thu</v>
      </c>
      <c r="N66">
        <f>WEEKDAY(tbl_RawSales[[#This Row],[Order Date]],2)</f>
        <v>4</v>
      </c>
    </row>
    <row r="67" spans="1:14" x14ac:dyDescent="0.25">
      <c r="A67" t="s">
        <v>113</v>
      </c>
      <c r="B67" s="20">
        <v>45614</v>
      </c>
      <c r="C67" t="s">
        <v>16</v>
      </c>
      <c r="D67" t="s">
        <v>12</v>
      </c>
      <c r="E67" t="s">
        <v>22</v>
      </c>
      <c r="F67" t="s">
        <v>23</v>
      </c>
      <c r="G67">
        <v>1</v>
      </c>
      <c r="H67" s="1">
        <v>8.99</v>
      </c>
      <c r="I67" s="1">
        <v>8.99</v>
      </c>
      <c r="J67">
        <v>5</v>
      </c>
      <c r="K67" t="str">
        <f>TEXT(tbl_RawSales[[#This Row],[Order Date]],"mmm")</f>
        <v>Nov</v>
      </c>
      <c r="L67">
        <f>MONTH(tbl_RawSales[[#This Row],[Order Date]])</f>
        <v>11</v>
      </c>
      <c r="M67" t="str">
        <f>TEXT(tbl_RawSales[[#This Row],[Order Date]],"ddd")</f>
        <v>Mon</v>
      </c>
      <c r="N67">
        <f>WEEKDAY(tbl_RawSales[[#This Row],[Order Date]],2)</f>
        <v>1</v>
      </c>
    </row>
    <row r="68" spans="1:14" x14ac:dyDescent="0.25">
      <c r="A68" t="s">
        <v>114</v>
      </c>
      <c r="B68" s="20">
        <v>45399</v>
      </c>
      <c r="C68" t="s">
        <v>11</v>
      </c>
      <c r="D68" t="s">
        <v>29</v>
      </c>
      <c r="E68" t="s">
        <v>13</v>
      </c>
      <c r="F68" t="s">
        <v>14</v>
      </c>
      <c r="G68">
        <v>2</v>
      </c>
      <c r="H68" s="1">
        <v>18.989999999999998</v>
      </c>
      <c r="I68" s="1">
        <v>37.979999999999997</v>
      </c>
      <c r="J68">
        <v>4</v>
      </c>
      <c r="K68" t="str">
        <f>TEXT(tbl_RawSales[[#This Row],[Order Date]],"mmm")</f>
        <v>Apr</v>
      </c>
      <c r="L68">
        <f>MONTH(tbl_RawSales[[#This Row],[Order Date]])</f>
        <v>4</v>
      </c>
      <c r="M68" t="str">
        <f>TEXT(tbl_RawSales[[#This Row],[Order Date]],"ddd")</f>
        <v>Wed</v>
      </c>
      <c r="N68">
        <f>WEEKDAY(tbl_RawSales[[#This Row],[Order Date]],2)</f>
        <v>3</v>
      </c>
    </row>
    <row r="69" spans="1:14" x14ac:dyDescent="0.25">
      <c r="A69" t="s">
        <v>115</v>
      </c>
      <c r="B69" s="20">
        <v>45374</v>
      </c>
      <c r="C69" t="s">
        <v>11</v>
      </c>
      <c r="D69" t="s">
        <v>29</v>
      </c>
      <c r="E69" t="s">
        <v>30</v>
      </c>
      <c r="F69" t="s">
        <v>19</v>
      </c>
      <c r="G69">
        <v>2</v>
      </c>
      <c r="H69" s="1">
        <v>7.99</v>
      </c>
      <c r="I69" s="1">
        <v>15.98</v>
      </c>
      <c r="J69">
        <v>4</v>
      </c>
      <c r="K69" t="str">
        <f>TEXT(tbl_RawSales[[#This Row],[Order Date]],"mmm")</f>
        <v>Mar</v>
      </c>
      <c r="L69">
        <f>MONTH(tbl_RawSales[[#This Row],[Order Date]])</f>
        <v>3</v>
      </c>
      <c r="M69" t="str">
        <f>TEXT(tbl_RawSales[[#This Row],[Order Date]],"ddd")</f>
        <v>Sat</v>
      </c>
      <c r="N69">
        <f>WEEKDAY(tbl_RawSales[[#This Row],[Order Date]],2)</f>
        <v>6</v>
      </c>
    </row>
    <row r="70" spans="1:14" x14ac:dyDescent="0.25">
      <c r="A70" t="s">
        <v>116</v>
      </c>
      <c r="B70" s="20">
        <v>45480</v>
      </c>
      <c r="C70" t="s">
        <v>97</v>
      </c>
      <c r="D70" t="s">
        <v>29</v>
      </c>
      <c r="E70" t="s">
        <v>39</v>
      </c>
      <c r="F70" t="s">
        <v>14</v>
      </c>
      <c r="G70">
        <v>2</v>
      </c>
      <c r="H70" s="1">
        <v>24.99</v>
      </c>
      <c r="I70" s="1">
        <v>49.98</v>
      </c>
      <c r="J70">
        <v>5</v>
      </c>
      <c r="K70" t="str">
        <f>TEXT(tbl_RawSales[[#This Row],[Order Date]],"mmm")</f>
        <v>Jul</v>
      </c>
      <c r="L70">
        <f>MONTH(tbl_RawSales[[#This Row],[Order Date]])</f>
        <v>7</v>
      </c>
      <c r="M70" t="str">
        <f>TEXT(tbl_RawSales[[#This Row],[Order Date]],"ddd")</f>
        <v>Sun</v>
      </c>
      <c r="N70">
        <f>WEEKDAY(tbl_RawSales[[#This Row],[Order Date]],2)</f>
        <v>7</v>
      </c>
    </row>
    <row r="71" spans="1:14" x14ac:dyDescent="0.25">
      <c r="A71" t="s">
        <v>117</v>
      </c>
      <c r="B71" s="20">
        <v>45509</v>
      </c>
      <c r="C71" t="s">
        <v>21</v>
      </c>
      <c r="D71" t="s">
        <v>29</v>
      </c>
      <c r="E71" t="s">
        <v>52</v>
      </c>
      <c r="F71" t="s">
        <v>19</v>
      </c>
      <c r="G71">
        <v>2</v>
      </c>
      <c r="H71" s="1">
        <v>6.99</v>
      </c>
      <c r="I71" s="1">
        <v>13.98</v>
      </c>
      <c r="J71">
        <v>3</v>
      </c>
      <c r="K71" t="str">
        <f>TEXT(tbl_RawSales[[#This Row],[Order Date]],"mmm")</f>
        <v>Aug</v>
      </c>
      <c r="L71">
        <f>MONTH(tbl_RawSales[[#This Row],[Order Date]])</f>
        <v>8</v>
      </c>
      <c r="M71" t="str">
        <f>TEXT(tbl_RawSales[[#This Row],[Order Date]],"ddd")</f>
        <v>Mon</v>
      </c>
      <c r="N71">
        <f>WEEKDAY(tbl_RawSales[[#This Row],[Order Date]],2)</f>
        <v>1</v>
      </c>
    </row>
    <row r="72" spans="1:14" x14ac:dyDescent="0.25">
      <c r="A72" t="s">
        <v>118</v>
      </c>
      <c r="B72" s="20">
        <v>45513</v>
      </c>
      <c r="C72" t="s">
        <v>21</v>
      </c>
      <c r="D72" t="s">
        <v>12</v>
      </c>
      <c r="E72" t="s">
        <v>119</v>
      </c>
      <c r="F72" t="s">
        <v>19</v>
      </c>
      <c r="G72">
        <v>1</v>
      </c>
      <c r="H72" s="1">
        <v>4.99</v>
      </c>
      <c r="I72" s="1">
        <v>4.99</v>
      </c>
      <c r="J72">
        <v>4</v>
      </c>
      <c r="K72" t="str">
        <f>TEXT(tbl_RawSales[[#This Row],[Order Date]],"mmm")</f>
        <v>Aug</v>
      </c>
      <c r="L72">
        <f>MONTH(tbl_RawSales[[#This Row],[Order Date]])</f>
        <v>8</v>
      </c>
      <c r="M72" t="str">
        <f>TEXT(tbl_RawSales[[#This Row],[Order Date]],"ddd")</f>
        <v>Fri</v>
      </c>
      <c r="N72">
        <f>WEEKDAY(tbl_RawSales[[#This Row],[Order Date]],2)</f>
        <v>5</v>
      </c>
    </row>
    <row r="73" spans="1:14" x14ac:dyDescent="0.25">
      <c r="A73" t="s">
        <v>120</v>
      </c>
      <c r="B73" s="20">
        <v>45343</v>
      </c>
      <c r="C73" t="s">
        <v>11</v>
      </c>
      <c r="D73" t="s">
        <v>17</v>
      </c>
      <c r="E73" t="s">
        <v>55</v>
      </c>
      <c r="F73" t="s">
        <v>23</v>
      </c>
      <c r="G73">
        <v>1</v>
      </c>
      <c r="H73" s="1">
        <v>10.99</v>
      </c>
      <c r="I73" s="1">
        <v>10.99</v>
      </c>
      <c r="J73">
        <v>5</v>
      </c>
      <c r="K73" t="str">
        <f>TEXT(tbl_RawSales[[#This Row],[Order Date]],"mmm")</f>
        <v>Feb</v>
      </c>
      <c r="L73">
        <f>MONTH(tbl_RawSales[[#This Row],[Order Date]])</f>
        <v>2</v>
      </c>
      <c r="M73" t="str">
        <f>TEXT(tbl_RawSales[[#This Row],[Order Date]],"ddd")</f>
        <v>Wed</v>
      </c>
      <c r="N73">
        <f>WEEKDAY(tbl_RawSales[[#This Row],[Order Date]],2)</f>
        <v>3</v>
      </c>
    </row>
    <row r="74" spans="1:14" x14ac:dyDescent="0.25">
      <c r="A74" t="s">
        <v>121</v>
      </c>
      <c r="B74" s="20">
        <v>45488</v>
      </c>
      <c r="C74" t="s">
        <v>38</v>
      </c>
      <c r="D74" t="s">
        <v>29</v>
      </c>
      <c r="E74" t="s">
        <v>18</v>
      </c>
      <c r="F74" t="s">
        <v>19</v>
      </c>
      <c r="G74">
        <v>1</v>
      </c>
      <c r="H74" s="1">
        <v>9.99</v>
      </c>
      <c r="I74" s="1">
        <v>9.99</v>
      </c>
      <c r="J74">
        <v>4</v>
      </c>
      <c r="K74" t="str">
        <f>TEXT(tbl_RawSales[[#This Row],[Order Date]],"mmm")</f>
        <v>Jul</v>
      </c>
      <c r="L74">
        <f>MONTH(tbl_RawSales[[#This Row],[Order Date]])</f>
        <v>7</v>
      </c>
      <c r="M74" t="str">
        <f>TEXT(tbl_RawSales[[#This Row],[Order Date]],"ddd")</f>
        <v>Mon</v>
      </c>
      <c r="N74">
        <f>WEEKDAY(tbl_RawSales[[#This Row],[Order Date]],2)</f>
        <v>1</v>
      </c>
    </row>
    <row r="75" spans="1:14" x14ac:dyDescent="0.25">
      <c r="A75" t="s">
        <v>122</v>
      </c>
      <c r="B75" s="20">
        <v>45447</v>
      </c>
      <c r="C75" t="s">
        <v>16</v>
      </c>
      <c r="D75" t="s">
        <v>12</v>
      </c>
      <c r="E75" t="s">
        <v>74</v>
      </c>
      <c r="F75" t="s">
        <v>14</v>
      </c>
      <c r="G75">
        <v>1</v>
      </c>
      <c r="H75" s="1">
        <v>14.99</v>
      </c>
      <c r="I75" s="1">
        <v>14.99</v>
      </c>
      <c r="J75">
        <v>4</v>
      </c>
      <c r="K75" t="str">
        <f>TEXT(tbl_RawSales[[#This Row],[Order Date]],"mmm")</f>
        <v>Jun</v>
      </c>
      <c r="L75">
        <f>MONTH(tbl_RawSales[[#This Row],[Order Date]])</f>
        <v>6</v>
      </c>
      <c r="M75" t="str">
        <f>TEXT(tbl_RawSales[[#This Row],[Order Date]],"ddd")</f>
        <v>Tue</v>
      </c>
      <c r="N75">
        <f>WEEKDAY(tbl_RawSales[[#This Row],[Order Date]],2)</f>
        <v>2</v>
      </c>
    </row>
    <row r="76" spans="1:14" x14ac:dyDescent="0.25">
      <c r="A76" t="s">
        <v>123</v>
      </c>
      <c r="B76" s="20">
        <v>45672</v>
      </c>
      <c r="C76" t="s">
        <v>38</v>
      </c>
      <c r="D76" t="s">
        <v>29</v>
      </c>
      <c r="E76" t="s">
        <v>36</v>
      </c>
      <c r="F76" t="s">
        <v>14</v>
      </c>
      <c r="G76">
        <v>3</v>
      </c>
      <c r="H76" s="1">
        <v>16.989999999999998</v>
      </c>
      <c r="I76" s="1">
        <v>50.97</v>
      </c>
      <c r="J76">
        <v>4</v>
      </c>
      <c r="K76" t="str">
        <f>TEXT(tbl_RawSales[[#This Row],[Order Date]],"mmm")</f>
        <v>Jan</v>
      </c>
      <c r="L76">
        <f>MONTH(tbl_RawSales[[#This Row],[Order Date]])</f>
        <v>1</v>
      </c>
      <c r="M76" t="str">
        <f>TEXT(tbl_RawSales[[#This Row],[Order Date]],"ddd")</f>
        <v>Wed</v>
      </c>
      <c r="N76">
        <f>WEEKDAY(tbl_RawSales[[#This Row],[Order Date]],2)</f>
        <v>3</v>
      </c>
    </row>
    <row r="77" spans="1:14" x14ac:dyDescent="0.25">
      <c r="A77" t="s">
        <v>124</v>
      </c>
      <c r="B77" s="20">
        <v>45821</v>
      </c>
      <c r="C77" t="s">
        <v>34</v>
      </c>
      <c r="D77" t="s">
        <v>29</v>
      </c>
      <c r="E77" t="s">
        <v>50</v>
      </c>
      <c r="F77" t="s">
        <v>14</v>
      </c>
      <c r="G77">
        <v>2</v>
      </c>
      <c r="H77" s="1">
        <v>22.99</v>
      </c>
      <c r="I77" s="1">
        <v>45.98</v>
      </c>
      <c r="J77">
        <v>3</v>
      </c>
      <c r="K77" t="str">
        <f>TEXT(tbl_RawSales[[#This Row],[Order Date]],"mmm")</f>
        <v>Jun</v>
      </c>
      <c r="L77">
        <f>MONTH(tbl_RawSales[[#This Row],[Order Date]])</f>
        <v>6</v>
      </c>
      <c r="M77" t="str">
        <f>TEXT(tbl_RawSales[[#This Row],[Order Date]],"ddd")</f>
        <v>Fri</v>
      </c>
      <c r="N77">
        <f>WEEKDAY(tbl_RawSales[[#This Row],[Order Date]],2)</f>
        <v>5</v>
      </c>
    </row>
    <row r="78" spans="1:14" x14ac:dyDescent="0.25">
      <c r="A78" t="s">
        <v>125</v>
      </c>
      <c r="B78" s="20">
        <v>45541</v>
      </c>
      <c r="C78" t="s">
        <v>25</v>
      </c>
      <c r="D78" t="s">
        <v>17</v>
      </c>
      <c r="E78" t="s">
        <v>74</v>
      </c>
      <c r="F78" t="s">
        <v>14</v>
      </c>
      <c r="G78">
        <v>2</v>
      </c>
      <c r="H78" s="1">
        <v>14.99</v>
      </c>
      <c r="I78" s="1">
        <v>29.98</v>
      </c>
      <c r="J78">
        <v>4</v>
      </c>
      <c r="K78" t="str">
        <f>TEXT(tbl_RawSales[[#This Row],[Order Date]],"mmm")</f>
        <v>Sept</v>
      </c>
      <c r="L78">
        <f>MONTH(tbl_RawSales[[#This Row],[Order Date]])</f>
        <v>9</v>
      </c>
      <c r="M78" t="str">
        <f>TEXT(tbl_RawSales[[#This Row],[Order Date]],"ddd")</f>
        <v>Fri</v>
      </c>
      <c r="N78">
        <f>WEEKDAY(tbl_RawSales[[#This Row],[Order Date]],2)</f>
        <v>5</v>
      </c>
    </row>
    <row r="79" spans="1:14" x14ac:dyDescent="0.25">
      <c r="A79" t="s">
        <v>126</v>
      </c>
      <c r="B79" s="20">
        <v>45550</v>
      </c>
      <c r="C79" t="s">
        <v>38</v>
      </c>
      <c r="D79" t="s">
        <v>17</v>
      </c>
      <c r="E79" t="s">
        <v>57</v>
      </c>
      <c r="F79" t="s">
        <v>14</v>
      </c>
      <c r="G79">
        <v>1</v>
      </c>
      <c r="H79" s="1">
        <v>15.99</v>
      </c>
      <c r="I79" s="1">
        <v>15.99</v>
      </c>
      <c r="J79">
        <v>4</v>
      </c>
      <c r="K79" t="str">
        <f>TEXT(tbl_RawSales[[#This Row],[Order Date]],"mmm")</f>
        <v>Sept</v>
      </c>
      <c r="L79">
        <f>MONTH(tbl_RawSales[[#This Row],[Order Date]])</f>
        <v>9</v>
      </c>
      <c r="M79" t="str">
        <f>TEXT(tbl_RawSales[[#This Row],[Order Date]],"ddd")</f>
        <v>Sun</v>
      </c>
      <c r="N79">
        <f>WEEKDAY(tbl_RawSales[[#This Row],[Order Date]],2)</f>
        <v>7</v>
      </c>
    </row>
    <row r="80" spans="1:14" x14ac:dyDescent="0.25">
      <c r="A80" t="s">
        <v>127</v>
      </c>
      <c r="B80" s="20">
        <v>45942</v>
      </c>
      <c r="C80" t="s">
        <v>28</v>
      </c>
      <c r="D80" t="s">
        <v>29</v>
      </c>
      <c r="E80" t="s">
        <v>39</v>
      </c>
      <c r="F80" t="s">
        <v>14</v>
      </c>
      <c r="G80">
        <v>1</v>
      </c>
      <c r="H80" s="1">
        <v>24.99</v>
      </c>
      <c r="I80" s="1">
        <v>24.99</v>
      </c>
      <c r="J80">
        <v>3</v>
      </c>
      <c r="K80" t="str">
        <f>TEXT(tbl_RawSales[[#This Row],[Order Date]],"mmm")</f>
        <v>Oct</v>
      </c>
      <c r="L80">
        <f>MONTH(tbl_RawSales[[#This Row],[Order Date]])</f>
        <v>10</v>
      </c>
      <c r="M80" t="str">
        <f>TEXT(tbl_RawSales[[#This Row],[Order Date]],"ddd")</f>
        <v>Sun</v>
      </c>
      <c r="N80">
        <f>WEEKDAY(tbl_RawSales[[#This Row],[Order Date]],2)</f>
        <v>7</v>
      </c>
    </row>
    <row r="81" spans="1:14" x14ac:dyDescent="0.25">
      <c r="A81" t="s">
        <v>128</v>
      </c>
      <c r="B81" s="20">
        <v>45655</v>
      </c>
      <c r="C81" t="s">
        <v>38</v>
      </c>
      <c r="D81" t="s">
        <v>12</v>
      </c>
      <c r="E81" t="s">
        <v>52</v>
      </c>
      <c r="F81" t="s">
        <v>19</v>
      </c>
      <c r="G81">
        <v>2</v>
      </c>
      <c r="H81" s="1">
        <v>6.99</v>
      </c>
      <c r="I81" s="1">
        <v>13.98</v>
      </c>
      <c r="J81">
        <v>5</v>
      </c>
      <c r="K81" t="str">
        <f>TEXT(tbl_RawSales[[#This Row],[Order Date]],"mmm")</f>
        <v>Dec</v>
      </c>
      <c r="L81">
        <f>MONTH(tbl_RawSales[[#This Row],[Order Date]])</f>
        <v>12</v>
      </c>
      <c r="M81" t="str">
        <f>TEXT(tbl_RawSales[[#This Row],[Order Date]],"ddd")</f>
        <v>Sun</v>
      </c>
      <c r="N81">
        <f>WEEKDAY(tbl_RawSales[[#This Row],[Order Date]],2)</f>
        <v>7</v>
      </c>
    </row>
    <row r="82" spans="1:14" x14ac:dyDescent="0.25">
      <c r="A82" t="s">
        <v>129</v>
      </c>
      <c r="B82" s="20">
        <v>45851</v>
      </c>
      <c r="C82" t="s">
        <v>34</v>
      </c>
      <c r="D82" t="s">
        <v>12</v>
      </c>
      <c r="E82" t="s">
        <v>62</v>
      </c>
      <c r="F82" t="s">
        <v>23</v>
      </c>
      <c r="G82">
        <v>1</v>
      </c>
      <c r="H82" s="1">
        <v>9.99</v>
      </c>
      <c r="I82" s="1">
        <v>9.99</v>
      </c>
      <c r="J82">
        <v>3</v>
      </c>
      <c r="K82" t="str">
        <f>TEXT(tbl_RawSales[[#This Row],[Order Date]],"mmm")</f>
        <v>Jul</v>
      </c>
      <c r="L82">
        <f>MONTH(tbl_RawSales[[#This Row],[Order Date]])</f>
        <v>7</v>
      </c>
      <c r="M82" t="str">
        <f>TEXT(tbl_RawSales[[#This Row],[Order Date]],"ddd")</f>
        <v>Sun</v>
      </c>
      <c r="N82">
        <f>WEEKDAY(tbl_RawSales[[#This Row],[Order Date]],2)</f>
        <v>7</v>
      </c>
    </row>
    <row r="83" spans="1:14" x14ac:dyDescent="0.25">
      <c r="A83" t="s">
        <v>130</v>
      </c>
      <c r="B83" s="20">
        <v>45557</v>
      </c>
      <c r="C83" t="s">
        <v>11</v>
      </c>
      <c r="D83" t="s">
        <v>29</v>
      </c>
      <c r="E83" t="s">
        <v>79</v>
      </c>
      <c r="F83" t="s">
        <v>67</v>
      </c>
      <c r="G83">
        <v>3</v>
      </c>
      <c r="H83" s="1">
        <v>10.99</v>
      </c>
      <c r="I83" s="1">
        <v>32.97</v>
      </c>
      <c r="J83">
        <v>4</v>
      </c>
      <c r="K83" t="str">
        <f>TEXT(tbl_RawSales[[#This Row],[Order Date]],"mmm")</f>
        <v>Sept</v>
      </c>
      <c r="L83">
        <f>MONTH(tbl_RawSales[[#This Row],[Order Date]])</f>
        <v>9</v>
      </c>
      <c r="M83" t="str">
        <f>TEXT(tbl_RawSales[[#This Row],[Order Date]],"ddd")</f>
        <v>Sun</v>
      </c>
      <c r="N83">
        <f>WEEKDAY(tbl_RawSales[[#This Row],[Order Date]],2)</f>
        <v>7</v>
      </c>
    </row>
    <row r="84" spans="1:14" x14ac:dyDescent="0.25">
      <c r="A84" t="s">
        <v>131</v>
      </c>
      <c r="B84" s="20">
        <v>45563</v>
      </c>
      <c r="C84" t="s">
        <v>34</v>
      </c>
      <c r="D84" t="s">
        <v>17</v>
      </c>
      <c r="E84" t="s">
        <v>13</v>
      </c>
      <c r="F84" t="s">
        <v>14</v>
      </c>
      <c r="G84">
        <v>4</v>
      </c>
      <c r="H84" s="1">
        <v>18.989999999999998</v>
      </c>
      <c r="I84" s="1">
        <v>75.959999999999994</v>
      </c>
      <c r="J84">
        <v>4</v>
      </c>
      <c r="K84" t="str">
        <f>TEXT(tbl_RawSales[[#This Row],[Order Date]],"mmm")</f>
        <v>Sept</v>
      </c>
      <c r="L84">
        <f>MONTH(tbl_RawSales[[#This Row],[Order Date]])</f>
        <v>9</v>
      </c>
      <c r="M84" t="str">
        <f>TEXT(tbl_RawSales[[#This Row],[Order Date]],"ddd")</f>
        <v>Sat</v>
      </c>
      <c r="N84">
        <f>WEEKDAY(tbl_RawSales[[#This Row],[Order Date]],2)</f>
        <v>6</v>
      </c>
    </row>
    <row r="85" spans="1:14" x14ac:dyDescent="0.25">
      <c r="A85" t="s">
        <v>132</v>
      </c>
      <c r="B85" s="20">
        <v>45989</v>
      </c>
      <c r="C85" t="s">
        <v>34</v>
      </c>
      <c r="D85" t="s">
        <v>12</v>
      </c>
      <c r="E85" t="s">
        <v>18</v>
      </c>
      <c r="F85" t="s">
        <v>19</v>
      </c>
      <c r="G85">
        <v>1</v>
      </c>
      <c r="H85" s="1">
        <v>9.99</v>
      </c>
      <c r="I85" s="1">
        <v>9.99</v>
      </c>
      <c r="J85">
        <v>3</v>
      </c>
      <c r="K85" t="str">
        <f>TEXT(tbl_RawSales[[#This Row],[Order Date]],"mmm")</f>
        <v>Nov</v>
      </c>
      <c r="L85">
        <f>MONTH(tbl_RawSales[[#This Row],[Order Date]])</f>
        <v>11</v>
      </c>
      <c r="M85" t="str">
        <f>TEXT(tbl_RawSales[[#This Row],[Order Date]],"ddd")</f>
        <v>Fri</v>
      </c>
      <c r="N85">
        <f>WEEKDAY(tbl_RawSales[[#This Row],[Order Date]],2)</f>
        <v>5</v>
      </c>
    </row>
    <row r="86" spans="1:14" x14ac:dyDescent="0.25">
      <c r="A86" t="s">
        <v>133</v>
      </c>
      <c r="B86" s="20">
        <v>45309</v>
      </c>
      <c r="C86" t="s">
        <v>97</v>
      </c>
      <c r="D86" t="s">
        <v>29</v>
      </c>
      <c r="E86" t="s">
        <v>13</v>
      </c>
      <c r="F86" t="s">
        <v>14</v>
      </c>
      <c r="G86">
        <v>4</v>
      </c>
      <c r="H86" s="1">
        <v>18.989999999999998</v>
      </c>
      <c r="I86" s="1">
        <v>75.959999999999994</v>
      </c>
      <c r="J86">
        <v>4</v>
      </c>
      <c r="K86" t="str">
        <f>TEXT(tbl_RawSales[[#This Row],[Order Date]],"mmm")</f>
        <v>Jan</v>
      </c>
      <c r="L86">
        <f>MONTH(tbl_RawSales[[#This Row],[Order Date]])</f>
        <v>1</v>
      </c>
      <c r="M86" t="str">
        <f>TEXT(tbl_RawSales[[#This Row],[Order Date]],"ddd")</f>
        <v>Thu</v>
      </c>
      <c r="N86">
        <f>WEEKDAY(tbl_RawSales[[#This Row],[Order Date]],2)</f>
        <v>4</v>
      </c>
    </row>
    <row r="87" spans="1:14" x14ac:dyDescent="0.25">
      <c r="A87" t="s">
        <v>134</v>
      </c>
      <c r="B87" s="20">
        <v>45489</v>
      </c>
      <c r="C87" t="s">
        <v>16</v>
      </c>
      <c r="D87" t="s">
        <v>12</v>
      </c>
      <c r="E87" t="s">
        <v>52</v>
      </c>
      <c r="F87" t="s">
        <v>19</v>
      </c>
      <c r="G87">
        <v>4</v>
      </c>
      <c r="H87" s="1">
        <v>6.99</v>
      </c>
      <c r="I87" s="1">
        <v>27.96</v>
      </c>
      <c r="J87">
        <v>5</v>
      </c>
      <c r="K87" t="str">
        <f>TEXT(tbl_RawSales[[#This Row],[Order Date]],"mmm")</f>
        <v>Jul</v>
      </c>
      <c r="L87">
        <f>MONTH(tbl_RawSales[[#This Row],[Order Date]])</f>
        <v>7</v>
      </c>
      <c r="M87" t="str">
        <f>TEXT(tbl_RawSales[[#This Row],[Order Date]],"ddd")</f>
        <v>Tue</v>
      </c>
      <c r="N87">
        <f>WEEKDAY(tbl_RawSales[[#This Row],[Order Date]],2)</f>
        <v>2</v>
      </c>
    </row>
    <row r="88" spans="1:14" x14ac:dyDescent="0.25">
      <c r="A88" t="s">
        <v>135</v>
      </c>
      <c r="B88" s="20">
        <v>45600</v>
      </c>
      <c r="C88" t="s">
        <v>32</v>
      </c>
      <c r="D88" t="s">
        <v>29</v>
      </c>
      <c r="E88" t="s">
        <v>83</v>
      </c>
      <c r="F88" t="s">
        <v>14</v>
      </c>
      <c r="G88">
        <v>2</v>
      </c>
      <c r="H88" s="1">
        <v>17.989999999999998</v>
      </c>
      <c r="I88" s="1">
        <v>35.979999999999997</v>
      </c>
      <c r="J88">
        <v>4</v>
      </c>
      <c r="K88" t="str">
        <f>TEXT(tbl_RawSales[[#This Row],[Order Date]],"mmm")</f>
        <v>Nov</v>
      </c>
      <c r="L88">
        <f>MONTH(tbl_RawSales[[#This Row],[Order Date]])</f>
        <v>11</v>
      </c>
      <c r="M88" t="str">
        <f>TEXT(tbl_RawSales[[#This Row],[Order Date]],"ddd")</f>
        <v>Mon</v>
      </c>
      <c r="N88">
        <f>WEEKDAY(tbl_RawSales[[#This Row],[Order Date]],2)</f>
        <v>1</v>
      </c>
    </row>
    <row r="89" spans="1:14" x14ac:dyDescent="0.25">
      <c r="A89" t="s">
        <v>136</v>
      </c>
      <c r="B89" s="20">
        <v>45780</v>
      </c>
      <c r="C89" t="s">
        <v>25</v>
      </c>
      <c r="D89" t="s">
        <v>12</v>
      </c>
      <c r="E89" t="s">
        <v>112</v>
      </c>
      <c r="F89" t="s">
        <v>19</v>
      </c>
      <c r="G89">
        <v>2</v>
      </c>
      <c r="H89" s="1">
        <v>5.99</v>
      </c>
      <c r="I89" s="1">
        <v>11.98</v>
      </c>
      <c r="J89">
        <v>5</v>
      </c>
      <c r="K89" t="str">
        <f>TEXT(tbl_RawSales[[#This Row],[Order Date]],"mmm")</f>
        <v>May</v>
      </c>
      <c r="L89">
        <f>MONTH(tbl_RawSales[[#This Row],[Order Date]])</f>
        <v>5</v>
      </c>
      <c r="M89" t="str">
        <f>TEXT(tbl_RawSales[[#This Row],[Order Date]],"ddd")</f>
        <v>Sat</v>
      </c>
      <c r="N89">
        <f>WEEKDAY(tbl_RawSales[[#This Row],[Order Date]],2)</f>
        <v>6</v>
      </c>
    </row>
    <row r="90" spans="1:14" x14ac:dyDescent="0.25">
      <c r="A90" t="s">
        <v>137</v>
      </c>
      <c r="B90" s="20">
        <v>45979</v>
      </c>
      <c r="C90" t="s">
        <v>11</v>
      </c>
      <c r="D90" t="s">
        <v>17</v>
      </c>
      <c r="E90" t="s">
        <v>55</v>
      </c>
      <c r="F90" t="s">
        <v>23</v>
      </c>
      <c r="G90">
        <v>1</v>
      </c>
      <c r="H90" s="1">
        <v>10.99</v>
      </c>
      <c r="I90" s="1">
        <v>10.99</v>
      </c>
      <c r="J90">
        <v>4</v>
      </c>
      <c r="K90" t="str">
        <f>TEXT(tbl_RawSales[[#This Row],[Order Date]],"mmm")</f>
        <v>Nov</v>
      </c>
      <c r="L90">
        <f>MONTH(tbl_RawSales[[#This Row],[Order Date]])</f>
        <v>11</v>
      </c>
      <c r="M90" t="str">
        <f>TEXT(tbl_RawSales[[#This Row],[Order Date]],"ddd")</f>
        <v>Tue</v>
      </c>
      <c r="N90">
        <f>WEEKDAY(tbl_RawSales[[#This Row],[Order Date]],2)</f>
        <v>2</v>
      </c>
    </row>
    <row r="91" spans="1:14" x14ac:dyDescent="0.25">
      <c r="A91" t="s">
        <v>138</v>
      </c>
      <c r="B91" s="20">
        <v>45926</v>
      </c>
      <c r="C91" t="s">
        <v>32</v>
      </c>
      <c r="D91" t="s">
        <v>29</v>
      </c>
      <c r="E91" t="s">
        <v>30</v>
      </c>
      <c r="F91" t="s">
        <v>19</v>
      </c>
      <c r="G91">
        <v>2</v>
      </c>
      <c r="H91" s="1">
        <v>7.99</v>
      </c>
      <c r="I91" s="1">
        <v>15.98</v>
      </c>
      <c r="J91">
        <v>4</v>
      </c>
      <c r="K91" t="str">
        <f>TEXT(tbl_RawSales[[#This Row],[Order Date]],"mmm")</f>
        <v>Sept</v>
      </c>
      <c r="L91">
        <f>MONTH(tbl_RawSales[[#This Row],[Order Date]])</f>
        <v>9</v>
      </c>
      <c r="M91" t="str">
        <f>TEXT(tbl_RawSales[[#This Row],[Order Date]],"ddd")</f>
        <v>Fri</v>
      </c>
      <c r="N91">
        <f>WEEKDAY(tbl_RawSales[[#This Row],[Order Date]],2)</f>
        <v>5</v>
      </c>
    </row>
    <row r="92" spans="1:14" x14ac:dyDescent="0.25">
      <c r="A92" t="s">
        <v>139</v>
      </c>
      <c r="B92" s="20">
        <v>45830</v>
      </c>
      <c r="C92" t="s">
        <v>28</v>
      </c>
      <c r="D92" t="s">
        <v>29</v>
      </c>
      <c r="E92" t="s">
        <v>13</v>
      </c>
      <c r="F92" t="s">
        <v>14</v>
      </c>
      <c r="G92">
        <v>1</v>
      </c>
      <c r="H92" s="1">
        <v>18.989999999999998</v>
      </c>
      <c r="I92" s="1">
        <v>18.989999999999998</v>
      </c>
      <c r="J92">
        <v>4</v>
      </c>
      <c r="K92" t="str">
        <f>TEXT(tbl_RawSales[[#This Row],[Order Date]],"mmm")</f>
        <v>Jun</v>
      </c>
      <c r="L92">
        <f>MONTH(tbl_RawSales[[#This Row],[Order Date]])</f>
        <v>6</v>
      </c>
      <c r="M92" t="str">
        <f>TEXT(tbl_RawSales[[#This Row],[Order Date]],"ddd")</f>
        <v>Sun</v>
      </c>
      <c r="N92">
        <f>WEEKDAY(tbl_RawSales[[#This Row],[Order Date]],2)</f>
        <v>7</v>
      </c>
    </row>
    <row r="93" spans="1:14" x14ac:dyDescent="0.25">
      <c r="A93" t="s">
        <v>140</v>
      </c>
      <c r="B93" s="20">
        <v>45596</v>
      </c>
      <c r="C93" t="s">
        <v>28</v>
      </c>
      <c r="D93" t="s">
        <v>12</v>
      </c>
      <c r="E93" t="s">
        <v>18</v>
      </c>
      <c r="F93" t="s">
        <v>19</v>
      </c>
      <c r="G93">
        <v>4</v>
      </c>
      <c r="H93" s="1">
        <v>9.99</v>
      </c>
      <c r="I93" s="1">
        <v>39.96</v>
      </c>
      <c r="J93">
        <v>4</v>
      </c>
      <c r="K93" t="str">
        <f>TEXT(tbl_RawSales[[#This Row],[Order Date]],"mmm")</f>
        <v>Oct</v>
      </c>
      <c r="L93">
        <f>MONTH(tbl_RawSales[[#This Row],[Order Date]])</f>
        <v>10</v>
      </c>
      <c r="M93" t="str">
        <f>TEXT(tbl_RawSales[[#This Row],[Order Date]],"ddd")</f>
        <v>Thu</v>
      </c>
      <c r="N93">
        <f>WEEKDAY(tbl_RawSales[[#This Row],[Order Date]],2)</f>
        <v>4</v>
      </c>
    </row>
    <row r="94" spans="1:14" x14ac:dyDescent="0.25">
      <c r="A94" t="s">
        <v>141</v>
      </c>
      <c r="B94" s="20">
        <v>45943</v>
      </c>
      <c r="C94" t="s">
        <v>25</v>
      </c>
      <c r="D94" t="s">
        <v>12</v>
      </c>
      <c r="E94" t="s">
        <v>142</v>
      </c>
      <c r="F94" t="s">
        <v>23</v>
      </c>
      <c r="G94">
        <v>2</v>
      </c>
      <c r="H94" s="1">
        <v>14.99</v>
      </c>
      <c r="I94" s="1">
        <v>29.98</v>
      </c>
      <c r="J94">
        <v>4</v>
      </c>
      <c r="K94" t="str">
        <f>TEXT(tbl_RawSales[[#This Row],[Order Date]],"mmm")</f>
        <v>Oct</v>
      </c>
      <c r="L94">
        <f>MONTH(tbl_RawSales[[#This Row],[Order Date]])</f>
        <v>10</v>
      </c>
      <c r="M94" t="str">
        <f>TEXT(tbl_RawSales[[#This Row],[Order Date]],"ddd")</f>
        <v>Mon</v>
      </c>
      <c r="N94">
        <f>WEEKDAY(tbl_RawSales[[#This Row],[Order Date]],2)</f>
        <v>1</v>
      </c>
    </row>
    <row r="95" spans="1:14" x14ac:dyDescent="0.25">
      <c r="A95" t="s">
        <v>143</v>
      </c>
      <c r="B95" s="20">
        <v>45848</v>
      </c>
      <c r="C95" t="s">
        <v>34</v>
      </c>
      <c r="D95" t="s">
        <v>12</v>
      </c>
      <c r="E95" t="s">
        <v>57</v>
      </c>
      <c r="F95" t="s">
        <v>14</v>
      </c>
      <c r="G95">
        <v>2</v>
      </c>
      <c r="H95" s="1">
        <v>15.99</v>
      </c>
      <c r="I95" s="1">
        <v>31.98</v>
      </c>
      <c r="J95">
        <v>5</v>
      </c>
      <c r="K95" t="str">
        <f>TEXT(tbl_RawSales[[#This Row],[Order Date]],"mmm")</f>
        <v>Jul</v>
      </c>
      <c r="L95">
        <f>MONTH(tbl_RawSales[[#This Row],[Order Date]])</f>
        <v>7</v>
      </c>
      <c r="M95" t="str">
        <f>TEXT(tbl_RawSales[[#This Row],[Order Date]],"ddd")</f>
        <v>Thu</v>
      </c>
      <c r="N95">
        <f>WEEKDAY(tbl_RawSales[[#This Row],[Order Date]],2)</f>
        <v>4</v>
      </c>
    </row>
    <row r="96" spans="1:14" x14ac:dyDescent="0.25">
      <c r="A96" t="s">
        <v>144</v>
      </c>
      <c r="B96" s="20">
        <v>45696</v>
      </c>
      <c r="C96" t="s">
        <v>28</v>
      </c>
      <c r="D96" t="s">
        <v>12</v>
      </c>
      <c r="E96" t="s">
        <v>52</v>
      </c>
      <c r="F96" t="s">
        <v>19</v>
      </c>
      <c r="G96">
        <v>1</v>
      </c>
      <c r="H96" s="1">
        <v>6.99</v>
      </c>
      <c r="I96" s="1">
        <v>6.99</v>
      </c>
      <c r="J96">
        <v>5</v>
      </c>
      <c r="K96" t="str">
        <f>TEXT(tbl_RawSales[[#This Row],[Order Date]],"mmm")</f>
        <v>Feb</v>
      </c>
      <c r="L96">
        <f>MONTH(tbl_RawSales[[#This Row],[Order Date]])</f>
        <v>2</v>
      </c>
      <c r="M96" t="str">
        <f>TEXT(tbl_RawSales[[#This Row],[Order Date]],"ddd")</f>
        <v>Sat</v>
      </c>
      <c r="N96">
        <f>WEEKDAY(tbl_RawSales[[#This Row],[Order Date]],2)</f>
        <v>6</v>
      </c>
    </row>
    <row r="97" spans="1:14" x14ac:dyDescent="0.25">
      <c r="A97" t="s">
        <v>145</v>
      </c>
      <c r="B97" s="20">
        <v>45762</v>
      </c>
      <c r="C97" t="s">
        <v>32</v>
      </c>
      <c r="D97" t="s">
        <v>17</v>
      </c>
      <c r="E97" t="s">
        <v>36</v>
      </c>
      <c r="F97" t="s">
        <v>14</v>
      </c>
      <c r="G97">
        <v>2</v>
      </c>
      <c r="H97" s="1">
        <v>16.989999999999998</v>
      </c>
      <c r="I97" s="1">
        <v>33.979999999999997</v>
      </c>
      <c r="J97">
        <v>3</v>
      </c>
      <c r="K97" t="str">
        <f>TEXT(tbl_RawSales[[#This Row],[Order Date]],"mmm")</f>
        <v>Apr</v>
      </c>
      <c r="L97">
        <f>MONTH(tbl_RawSales[[#This Row],[Order Date]])</f>
        <v>4</v>
      </c>
      <c r="M97" t="str">
        <f>TEXT(tbl_RawSales[[#This Row],[Order Date]],"ddd")</f>
        <v>Tue</v>
      </c>
      <c r="N97">
        <f>WEEKDAY(tbl_RawSales[[#This Row],[Order Date]],2)</f>
        <v>2</v>
      </c>
    </row>
    <row r="98" spans="1:14" x14ac:dyDescent="0.25">
      <c r="A98" t="s">
        <v>146</v>
      </c>
      <c r="B98" s="20">
        <v>45971</v>
      </c>
      <c r="C98" t="s">
        <v>11</v>
      </c>
      <c r="D98" t="s">
        <v>17</v>
      </c>
      <c r="E98" t="s">
        <v>79</v>
      </c>
      <c r="F98" t="s">
        <v>67</v>
      </c>
      <c r="G98">
        <v>1</v>
      </c>
      <c r="H98" s="1">
        <v>10.99</v>
      </c>
      <c r="I98" s="1">
        <v>10.99</v>
      </c>
      <c r="J98">
        <v>1</v>
      </c>
      <c r="K98" t="str">
        <f>TEXT(tbl_RawSales[[#This Row],[Order Date]],"mmm")</f>
        <v>Nov</v>
      </c>
      <c r="L98">
        <f>MONTH(tbl_RawSales[[#This Row],[Order Date]])</f>
        <v>11</v>
      </c>
      <c r="M98" t="str">
        <f>TEXT(tbl_RawSales[[#This Row],[Order Date]],"ddd")</f>
        <v>Mon</v>
      </c>
      <c r="N98">
        <f>WEEKDAY(tbl_RawSales[[#This Row],[Order Date]],2)</f>
        <v>1</v>
      </c>
    </row>
    <row r="99" spans="1:14" x14ac:dyDescent="0.25">
      <c r="A99" t="s">
        <v>147</v>
      </c>
      <c r="B99" s="20">
        <v>45682</v>
      </c>
      <c r="C99" t="s">
        <v>16</v>
      </c>
      <c r="D99" t="s">
        <v>29</v>
      </c>
      <c r="E99" t="s">
        <v>66</v>
      </c>
      <c r="F99" t="s">
        <v>67</v>
      </c>
      <c r="G99">
        <v>2</v>
      </c>
      <c r="H99" s="1">
        <v>7.99</v>
      </c>
      <c r="I99" s="1">
        <v>15.98</v>
      </c>
      <c r="J99">
        <v>3</v>
      </c>
      <c r="K99" t="str">
        <f>TEXT(tbl_RawSales[[#This Row],[Order Date]],"mmm")</f>
        <v>Jan</v>
      </c>
      <c r="L99">
        <f>MONTH(tbl_RawSales[[#This Row],[Order Date]])</f>
        <v>1</v>
      </c>
      <c r="M99" t="str">
        <f>TEXT(tbl_RawSales[[#This Row],[Order Date]],"ddd")</f>
        <v>Sat</v>
      </c>
      <c r="N99">
        <f>WEEKDAY(tbl_RawSales[[#This Row],[Order Date]],2)</f>
        <v>6</v>
      </c>
    </row>
    <row r="100" spans="1:14" x14ac:dyDescent="0.25">
      <c r="A100" t="s">
        <v>148</v>
      </c>
      <c r="B100" s="20">
        <v>45373</v>
      </c>
      <c r="C100" t="s">
        <v>11</v>
      </c>
      <c r="D100" t="s">
        <v>12</v>
      </c>
      <c r="E100" t="s">
        <v>41</v>
      </c>
      <c r="F100" t="s">
        <v>23</v>
      </c>
      <c r="G100">
        <v>1</v>
      </c>
      <c r="H100" s="1">
        <v>12.99</v>
      </c>
      <c r="I100" s="1">
        <v>12.99</v>
      </c>
      <c r="J100">
        <v>4</v>
      </c>
      <c r="K100" t="str">
        <f>TEXT(tbl_RawSales[[#This Row],[Order Date]],"mmm")</f>
        <v>Mar</v>
      </c>
      <c r="L100">
        <f>MONTH(tbl_RawSales[[#This Row],[Order Date]])</f>
        <v>3</v>
      </c>
      <c r="M100" t="str">
        <f>TEXT(tbl_RawSales[[#This Row],[Order Date]],"ddd")</f>
        <v>Fri</v>
      </c>
      <c r="N100">
        <f>WEEKDAY(tbl_RawSales[[#This Row],[Order Date]],2)</f>
        <v>5</v>
      </c>
    </row>
    <row r="101" spans="1:14" x14ac:dyDescent="0.25">
      <c r="A101" t="s">
        <v>149</v>
      </c>
      <c r="B101" s="20">
        <v>45433</v>
      </c>
      <c r="C101" t="s">
        <v>11</v>
      </c>
      <c r="D101" t="s">
        <v>17</v>
      </c>
      <c r="E101" t="s">
        <v>69</v>
      </c>
      <c r="F101" t="s">
        <v>67</v>
      </c>
      <c r="G101">
        <v>1</v>
      </c>
      <c r="H101" s="1">
        <v>8.99</v>
      </c>
      <c r="I101" s="1">
        <v>8.99</v>
      </c>
      <c r="J101">
        <v>2</v>
      </c>
      <c r="K101" t="str">
        <f>TEXT(tbl_RawSales[[#This Row],[Order Date]],"mmm")</f>
        <v>May</v>
      </c>
      <c r="L101">
        <f>MONTH(tbl_RawSales[[#This Row],[Order Date]])</f>
        <v>5</v>
      </c>
      <c r="M101" t="str">
        <f>TEXT(tbl_RawSales[[#This Row],[Order Date]],"ddd")</f>
        <v>Tue</v>
      </c>
      <c r="N101">
        <f>WEEKDAY(tbl_RawSales[[#This Row],[Order Date]],2)</f>
        <v>2</v>
      </c>
    </row>
    <row r="102" spans="1:14" x14ac:dyDescent="0.25">
      <c r="A102" t="s">
        <v>150</v>
      </c>
      <c r="B102" s="20">
        <v>45438</v>
      </c>
      <c r="C102" t="s">
        <v>25</v>
      </c>
      <c r="D102" t="s">
        <v>12</v>
      </c>
      <c r="E102" t="s">
        <v>50</v>
      </c>
      <c r="F102" t="s">
        <v>14</v>
      </c>
      <c r="G102">
        <v>3</v>
      </c>
      <c r="H102" s="1">
        <v>22.99</v>
      </c>
      <c r="I102" s="1">
        <v>68.97</v>
      </c>
      <c r="J102">
        <v>4</v>
      </c>
      <c r="K102" t="str">
        <f>TEXT(tbl_RawSales[[#This Row],[Order Date]],"mmm")</f>
        <v>May</v>
      </c>
      <c r="L102">
        <f>MONTH(tbl_RawSales[[#This Row],[Order Date]])</f>
        <v>5</v>
      </c>
      <c r="M102" t="str">
        <f>TEXT(tbl_RawSales[[#This Row],[Order Date]],"ddd")</f>
        <v>Sun</v>
      </c>
      <c r="N102">
        <f>WEEKDAY(tbl_RawSales[[#This Row],[Order Date]],2)</f>
        <v>7</v>
      </c>
    </row>
    <row r="103" spans="1:14" x14ac:dyDescent="0.25">
      <c r="A103" t="s">
        <v>151</v>
      </c>
      <c r="B103" s="20">
        <v>45942</v>
      </c>
      <c r="C103" t="s">
        <v>97</v>
      </c>
      <c r="D103" t="s">
        <v>17</v>
      </c>
      <c r="E103" t="s">
        <v>39</v>
      </c>
      <c r="F103" t="s">
        <v>14</v>
      </c>
      <c r="G103">
        <v>1</v>
      </c>
      <c r="H103" s="1">
        <v>24.99</v>
      </c>
      <c r="I103" s="1">
        <v>24.99</v>
      </c>
      <c r="J103">
        <v>5</v>
      </c>
      <c r="K103" t="str">
        <f>TEXT(tbl_RawSales[[#This Row],[Order Date]],"mmm")</f>
        <v>Oct</v>
      </c>
      <c r="L103">
        <f>MONTH(tbl_RawSales[[#This Row],[Order Date]])</f>
        <v>10</v>
      </c>
      <c r="M103" t="str">
        <f>TEXT(tbl_RawSales[[#This Row],[Order Date]],"ddd")</f>
        <v>Sun</v>
      </c>
      <c r="N103">
        <f>WEEKDAY(tbl_RawSales[[#This Row],[Order Date]],2)</f>
        <v>7</v>
      </c>
    </row>
    <row r="104" spans="1:14" x14ac:dyDescent="0.25">
      <c r="A104" t="s">
        <v>152</v>
      </c>
      <c r="B104" s="20">
        <v>45469</v>
      </c>
      <c r="C104" t="s">
        <v>21</v>
      </c>
      <c r="D104" t="s">
        <v>12</v>
      </c>
      <c r="E104" t="s">
        <v>83</v>
      </c>
      <c r="F104" t="s">
        <v>14</v>
      </c>
      <c r="G104">
        <v>1</v>
      </c>
      <c r="H104" s="1">
        <v>17.989999999999998</v>
      </c>
      <c r="I104" s="1">
        <v>17.989999999999998</v>
      </c>
      <c r="J104">
        <v>5</v>
      </c>
      <c r="K104" t="str">
        <f>TEXT(tbl_RawSales[[#This Row],[Order Date]],"mmm")</f>
        <v>Jun</v>
      </c>
      <c r="L104">
        <f>MONTH(tbl_RawSales[[#This Row],[Order Date]])</f>
        <v>6</v>
      </c>
      <c r="M104" t="str">
        <f>TEXT(tbl_RawSales[[#This Row],[Order Date]],"ddd")</f>
        <v>Wed</v>
      </c>
      <c r="N104">
        <f>WEEKDAY(tbl_RawSales[[#This Row],[Order Date]],2)</f>
        <v>3</v>
      </c>
    </row>
    <row r="105" spans="1:14" x14ac:dyDescent="0.25">
      <c r="A105" t="s">
        <v>153</v>
      </c>
      <c r="B105" s="20">
        <v>45791</v>
      </c>
      <c r="C105" t="s">
        <v>38</v>
      </c>
      <c r="D105" t="s">
        <v>17</v>
      </c>
      <c r="E105" t="s">
        <v>52</v>
      </c>
      <c r="F105" t="s">
        <v>19</v>
      </c>
      <c r="G105">
        <v>1</v>
      </c>
      <c r="H105" s="1">
        <v>6.99</v>
      </c>
      <c r="I105" s="1">
        <v>6.99</v>
      </c>
      <c r="J105">
        <v>5</v>
      </c>
      <c r="K105" t="str">
        <f>TEXT(tbl_RawSales[[#This Row],[Order Date]],"mmm")</f>
        <v>May</v>
      </c>
      <c r="L105">
        <f>MONTH(tbl_RawSales[[#This Row],[Order Date]])</f>
        <v>5</v>
      </c>
      <c r="M105" t="str">
        <f>TEXT(tbl_RawSales[[#This Row],[Order Date]],"ddd")</f>
        <v>Wed</v>
      </c>
      <c r="N105">
        <f>WEEKDAY(tbl_RawSales[[#This Row],[Order Date]],2)</f>
        <v>3</v>
      </c>
    </row>
    <row r="106" spans="1:14" x14ac:dyDescent="0.25">
      <c r="A106" t="s">
        <v>154</v>
      </c>
      <c r="B106" s="20">
        <v>45744</v>
      </c>
      <c r="C106" t="s">
        <v>28</v>
      </c>
      <c r="D106" t="s">
        <v>12</v>
      </c>
      <c r="E106" t="s">
        <v>30</v>
      </c>
      <c r="F106" t="s">
        <v>19</v>
      </c>
      <c r="G106">
        <v>2</v>
      </c>
      <c r="H106" s="1">
        <v>7.99</v>
      </c>
      <c r="I106" s="1">
        <v>15.98</v>
      </c>
      <c r="J106">
        <v>3</v>
      </c>
      <c r="K106" t="str">
        <f>TEXT(tbl_RawSales[[#This Row],[Order Date]],"mmm")</f>
        <v>Mar</v>
      </c>
      <c r="L106">
        <f>MONTH(tbl_RawSales[[#This Row],[Order Date]])</f>
        <v>3</v>
      </c>
      <c r="M106" t="str">
        <f>TEXT(tbl_RawSales[[#This Row],[Order Date]],"ddd")</f>
        <v>Fri</v>
      </c>
      <c r="N106">
        <f>WEEKDAY(tbl_RawSales[[#This Row],[Order Date]],2)</f>
        <v>5</v>
      </c>
    </row>
    <row r="107" spans="1:14" x14ac:dyDescent="0.25">
      <c r="A107" t="s">
        <v>155</v>
      </c>
      <c r="B107" s="20">
        <v>45872</v>
      </c>
      <c r="C107" t="s">
        <v>28</v>
      </c>
      <c r="D107" t="s">
        <v>17</v>
      </c>
      <c r="E107" t="s">
        <v>62</v>
      </c>
      <c r="F107" t="s">
        <v>23</v>
      </c>
      <c r="G107">
        <v>1</v>
      </c>
      <c r="H107" s="1">
        <v>9.99</v>
      </c>
      <c r="I107" s="1">
        <v>9.99</v>
      </c>
      <c r="J107">
        <v>5</v>
      </c>
      <c r="K107" t="str">
        <f>TEXT(tbl_RawSales[[#This Row],[Order Date]],"mmm")</f>
        <v>Aug</v>
      </c>
      <c r="L107">
        <f>MONTH(tbl_RawSales[[#This Row],[Order Date]])</f>
        <v>8</v>
      </c>
      <c r="M107" t="str">
        <f>TEXT(tbl_RawSales[[#This Row],[Order Date]],"ddd")</f>
        <v>Sun</v>
      </c>
      <c r="N107">
        <f>WEEKDAY(tbl_RawSales[[#This Row],[Order Date]],2)</f>
        <v>7</v>
      </c>
    </row>
    <row r="108" spans="1:14" x14ac:dyDescent="0.25">
      <c r="A108" t="s">
        <v>156</v>
      </c>
      <c r="B108" s="20">
        <v>45598</v>
      </c>
      <c r="C108" t="s">
        <v>32</v>
      </c>
      <c r="D108" t="s">
        <v>29</v>
      </c>
      <c r="E108" t="s">
        <v>66</v>
      </c>
      <c r="F108" t="s">
        <v>67</v>
      </c>
      <c r="G108">
        <v>2</v>
      </c>
      <c r="H108" s="1">
        <v>7.99</v>
      </c>
      <c r="I108" s="1">
        <v>15.98</v>
      </c>
      <c r="J108">
        <v>5</v>
      </c>
      <c r="K108" t="str">
        <f>TEXT(tbl_RawSales[[#This Row],[Order Date]],"mmm")</f>
        <v>Nov</v>
      </c>
      <c r="L108">
        <f>MONTH(tbl_RawSales[[#This Row],[Order Date]])</f>
        <v>11</v>
      </c>
      <c r="M108" t="str">
        <f>TEXT(tbl_RawSales[[#This Row],[Order Date]],"ddd")</f>
        <v>Sat</v>
      </c>
      <c r="N108">
        <f>WEEKDAY(tbl_RawSales[[#This Row],[Order Date]],2)</f>
        <v>6</v>
      </c>
    </row>
    <row r="109" spans="1:14" x14ac:dyDescent="0.25">
      <c r="A109" t="s">
        <v>157</v>
      </c>
      <c r="B109" s="20">
        <v>45486</v>
      </c>
      <c r="C109" t="s">
        <v>25</v>
      </c>
      <c r="D109" t="s">
        <v>12</v>
      </c>
      <c r="E109" t="s">
        <v>30</v>
      </c>
      <c r="F109" t="s">
        <v>19</v>
      </c>
      <c r="G109">
        <v>1</v>
      </c>
      <c r="H109" s="1">
        <v>7.99</v>
      </c>
      <c r="I109" s="1">
        <v>7.99</v>
      </c>
      <c r="J109">
        <v>3</v>
      </c>
      <c r="K109" t="str">
        <f>TEXT(tbl_RawSales[[#This Row],[Order Date]],"mmm")</f>
        <v>Jul</v>
      </c>
      <c r="L109">
        <f>MONTH(tbl_RawSales[[#This Row],[Order Date]])</f>
        <v>7</v>
      </c>
      <c r="M109" t="str">
        <f>TEXT(tbl_RawSales[[#This Row],[Order Date]],"ddd")</f>
        <v>Sat</v>
      </c>
      <c r="N109">
        <f>WEEKDAY(tbl_RawSales[[#This Row],[Order Date]],2)</f>
        <v>6</v>
      </c>
    </row>
    <row r="110" spans="1:14" x14ac:dyDescent="0.25">
      <c r="A110" t="s">
        <v>158</v>
      </c>
      <c r="B110" s="20">
        <v>45529</v>
      </c>
      <c r="C110" t="s">
        <v>45</v>
      </c>
      <c r="D110" t="s">
        <v>12</v>
      </c>
      <c r="E110" t="s">
        <v>46</v>
      </c>
      <c r="F110" t="s">
        <v>14</v>
      </c>
      <c r="G110">
        <v>2</v>
      </c>
      <c r="H110" s="1">
        <v>32.99</v>
      </c>
      <c r="I110" s="1">
        <v>65.98</v>
      </c>
      <c r="J110">
        <v>4</v>
      </c>
      <c r="K110" t="str">
        <f>TEXT(tbl_RawSales[[#This Row],[Order Date]],"mmm")</f>
        <v>Aug</v>
      </c>
      <c r="L110">
        <f>MONTH(tbl_RawSales[[#This Row],[Order Date]])</f>
        <v>8</v>
      </c>
      <c r="M110" t="str">
        <f>TEXT(tbl_RawSales[[#This Row],[Order Date]],"ddd")</f>
        <v>Sun</v>
      </c>
      <c r="N110">
        <f>WEEKDAY(tbl_RawSales[[#This Row],[Order Date]],2)</f>
        <v>7</v>
      </c>
    </row>
    <row r="111" spans="1:14" x14ac:dyDescent="0.25">
      <c r="A111" t="s">
        <v>159</v>
      </c>
      <c r="B111" s="20">
        <v>45376</v>
      </c>
      <c r="C111" t="s">
        <v>28</v>
      </c>
      <c r="D111" t="s">
        <v>29</v>
      </c>
      <c r="E111" t="s">
        <v>74</v>
      </c>
      <c r="F111" t="s">
        <v>14</v>
      </c>
      <c r="G111">
        <v>1</v>
      </c>
      <c r="H111" s="1">
        <v>14.99</v>
      </c>
      <c r="I111" s="1">
        <v>14.99</v>
      </c>
      <c r="J111">
        <v>4</v>
      </c>
      <c r="K111" t="str">
        <f>TEXT(tbl_RawSales[[#This Row],[Order Date]],"mmm")</f>
        <v>Mar</v>
      </c>
      <c r="L111">
        <f>MONTH(tbl_RawSales[[#This Row],[Order Date]])</f>
        <v>3</v>
      </c>
      <c r="M111" t="str">
        <f>TEXT(tbl_RawSales[[#This Row],[Order Date]],"ddd")</f>
        <v>Mon</v>
      </c>
      <c r="N111">
        <f>WEEKDAY(tbl_RawSales[[#This Row],[Order Date]],2)</f>
        <v>1</v>
      </c>
    </row>
    <row r="112" spans="1:14" x14ac:dyDescent="0.25">
      <c r="A112" t="s">
        <v>160</v>
      </c>
      <c r="B112" s="20">
        <v>45829</v>
      </c>
      <c r="C112" t="s">
        <v>28</v>
      </c>
      <c r="D112" t="s">
        <v>12</v>
      </c>
      <c r="E112" t="s">
        <v>36</v>
      </c>
      <c r="F112" t="s">
        <v>14</v>
      </c>
      <c r="G112">
        <v>1</v>
      </c>
      <c r="H112" s="1">
        <v>16.989999999999998</v>
      </c>
      <c r="I112" s="1">
        <v>16.989999999999998</v>
      </c>
      <c r="J112">
        <v>3</v>
      </c>
      <c r="K112" t="str">
        <f>TEXT(tbl_RawSales[[#This Row],[Order Date]],"mmm")</f>
        <v>Jun</v>
      </c>
      <c r="L112">
        <f>MONTH(tbl_RawSales[[#This Row],[Order Date]])</f>
        <v>6</v>
      </c>
      <c r="M112" t="str">
        <f>TEXT(tbl_RawSales[[#This Row],[Order Date]],"ddd")</f>
        <v>Sat</v>
      </c>
      <c r="N112">
        <f>WEEKDAY(tbl_RawSales[[#This Row],[Order Date]],2)</f>
        <v>6</v>
      </c>
    </row>
    <row r="113" spans="1:14" x14ac:dyDescent="0.25">
      <c r="A113" t="s">
        <v>161</v>
      </c>
      <c r="B113" s="20">
        <v>45440</v>
      </c>
      <c r="C113" t="s">
        <v>45</v>
      </c>
      <c r="D113" t="s">
        <v>29</v>
      </c>
      <c r="E113" t="s">
        <v>43</v>
      </c>
      <c r="F113" t="s">
        <v>23</v>
      </c>
      <c r="G113">
        <v>4</v>
      </c>
      <c r="H113" s="1">
        <v>11.99</v>
      </c>
      <c r="I113" s="1">
        <v>47.96</v>
      </c>
      <c r="J113">
        <v>4</v>
      </c>
      <c r="K113" t="str">
        <f>TEXT(tbl_RawSales[[#This Row],[Order Date]],"mmm")</f>
        <v>May</v>
      </c>
      <c r="L113">
        <f>MONTH(tbl_RawSales[[#This Row],[Order Date]])</f>
        <v>5</v>
      </c>
      <c r="M113" t="str">
        <f>TEXT(tbl_RawSales[[#This Row],[Order Date]],"ddd")</f>
        <v>Tue</v>
      </c>
      <c r="N113">
        <f>WEEKDAY(tbl_RawSales[[#This Row],[Order Date]],2)</f>
        <v>2</v>
      </c>
    </row>
    <row r="114" spans="1:14" x14ac:dyDescent="0.25">
      <c r="A114" t="s">
        <v>162</v>
      </c>
      <c r="B114" s="20">
        <v>45367</v>
      </c>
      <c r="C114" t="s">
        <v>32</v>
      </c>
      <c r="D114" t="s">
        <v>12</v>
      </c>
      <c r="E114" t="s">
        <v>62</v>
      </c>
      <c r="F114" t="s">
        <v>23</v>
      </c>
      <c r="G114">
        <v>1</v>
      </c>
      <c r="H114" s="1">
        <v>9.99</v>
      </c>
      <c r="I114" s="1">
        <v>9.99</v>
      </c>
      <c r="J114">
        <v>4</v>
      </c>
      <c r="K114" t="str">
        <f>TEXT(tbl_RawSales[[#This Row],[Order Date]],"mmm")</f>
        <v>Mar</v>
      </c>
      <c r="L114">
        <f>MONTH(tbl_RawSales[[#This Row],[Order Date]])</f>
        <v>3</v>
      </c>
      <c r="M114" t="str">
        <f>TEXT(tbl_RawSales[[#This Row],[Order Date]],"ddd")</f>
        <v>Sat</v>
      </c>
      <c r="N114">
        <f>WEEKDAY(tbl_RawSales[[#This Row],[Order Date]],2)</f>
        <v>6</v>
      </c>
    </row>
    <row r="115" spans="1:14" x14ac:dyDescent="0.25">
      <c r="A115" t="s">
        <v>163</v>
      </c>
      <c r="B115" s="20">
        <v>45467</v>
      </c>
      <c r="C115" t="s">
        <v>21</v>
      </c>
      <c r="D115" t="s">
        <v>29</v>
      </c>
      <c r="E115" t="s">
        <v>66</v>
      </c>
      <c r="F115" t="s">
        <v>67</v>
      </c>
      <c r="G115">
        <v>1</v>
      </c>
      <c r="H115" s="1">
        <v>7.99</v>
      </c>
      <c r="I115" s="1">
        <v>7.99</v>
      </c>
      <c r="J115">
        <v>4</v>
      </c>
      <c r="K115" t="str">
        <f>TEXT(tbl_RawSales[[#This Row],[Order Date]],"mmm")</f>
        <v>Jun</v>
      </c>
      <c r="L115">
        <f>MONTH(tbl_RawSales[[#This Row],[Order Date]])</f>
        <v>6</v>
      </c>
      <c r="M115" t="str">
        <f>TEXT(tbl_RawSales[[#This Row],[Order Date]],"ddd")</f>
        <v>Mon</v>
      </c>
      <c r="N115">
        <f>WEEKDAY(tbl_RawSales[[#This Row],[Order Date]],2)</f>
        <v>1</v>
      </c>
    </row>
    <row r="116" spans="1:14" x14ac:dyDescent="0.25">
      <c r="A116" t="s">
        <v>164</v>
      </c>
      <c r="B116" s="20">
        <v>45715</v>
      </c>
      <c r="C116" t="s">
        <v>28</v>
      </c>
      <c r="D116" t="s">
        <v>29</v>
      </c>
      <c r="E116" t="s">
        <v>13</v>
      </c>
      <c r="F116" t="s">
        <v>14</v>
      </c>
      <c r="G116">
        <v>2</v>
      </c>
      <c r="H116" s="1">
        <v>18.989999999999998</v>
      </c>
      <c r="I116" s="1">
        <v>37.979999999999997</v>
      </c>
      <c r="J116">
        <v>2</v>
      </c>
      <c r="K116" t="str">
        <f>TEXT(tbl_RawSales[[#This Row],[Order Date]],"mmm")</f>
        <v>Feb</v>
      </c>
      <c r="L116">
        <f>MONTH(tbl_RawSales[[#This Row],[Order Date]])</f>
        <v>2</v>
      </c>
      <c r="M116" t="str">
        <f>TEXT(tbl_RawSales[[#This Row],[Order Date]],"ddd")</f>
        <v>Thu</v>
      </c>
      <c r="N116">
        <f>WEEKDAY(tbl_RawSales[[#This Row],[Order Date]],2)</f>
        <v>4</v>
      </c>
    </row>
    <row r="117" spans="1:14" x14ac:dyDescent="0.25">
      <c r="A117" t="s">
        <v>165</v>
      </c>
      <c r="B117" s="20">
        <v>45500</v>
      </c>
      <c r="C117" t="s">
        <v>38</v>
      </c>
      <c r="D117" t="s">
        <v>29</v>
      </c>
      <c r="E117" t="s">
        <v>26</v>
      </c>
      <c r="F117" t="s">
        <v>19</v>
      </c>
      <c r="G117">
        <v>1</v>
      </c>
      <c r="H117" s="1">
        <v>3.49</v>
      </c>
      <c r="I117" s="1">
        <v>3.49</v>
      </c>
      <c r="J117">
        <v>5</v>
      </c>
      <c r="K117" t="str">
        <f>TEXT(tbl_RawSales[[#This Row],[Order Date]],"mmm")</f>
        <v>Jul</v>
      </c>
      <c r="L117">
        <f>MONTH(tbl_RawSales[[#This Row],[Order Date]])</f>
        <v>7</v>
      </c>
      <c r="M117" t="str">
        <f>TEXT(tbl_RawSales[[#This Row],[Order Date]],"ddd")</f>
        <v>Sat</v>
      </c>
      <c r="N117">
        <f>WEEKDAY(tbl_RawSales[[#This Row],[Order Date]],2)</f>
        <v>6</v>
      </c>
    </row>
    <row r="118" spans="1:14" x14ac:dyDescent="0.25">
      <c r="A118" t="s">
        <v>166</v>
      </c>
      <c r="B118" s="20">
        <v>45418</v>
      </c>
      <c r="C118" t="s">
        <v>16</v>
      </c>
      <c r="D118" t="s">
        <v>12</v>
      </c>
      <c r="E118" t="s">
        <v>52</v>
      </c>
      <c r="F118" t="s">
        <v>19</v>
      </c>
      <c r="G118">
        <v>2</v>
      </c>
      <c r="H118" s="1">
        <v>6.99</v>
      </c>
      <c r="I118" s="1">
        <v>13.98</v>
      </c>
      <c r="J118">
        <v>4</v>
      </c>
      <c r="K118" t="str">
        <f>TEXT(tbl_RawSales[[#This Row],[Order Date]],"mmm")</f>
        <v>May</v>
      </c>
      <c r="L118">
        <f>MONTH(tbl_RawSales[[#This Row],[Order Date]])</f>
        <v>5</v>
      </c>
      <c r="M118" t="str">
        <f>TEXT(tbl_RawSales[[#This Row],[Order Date]],"ddd")</f>
        <v>Mon</v>
      </c>
      <c r="N118">
        <f>WEEKDAY(tbl_RawSales[[#This Row],[Order Date]],2)</f>
        <v>1</v>
      </c>
    </row>
    <row r="119" spans="1:14" x14ac:dyDescent="0.25">
      <c r="A119" t="s">
        <v>167</v>
      </c>
      <c r="B119" s="20">
        <v>45959</v>
      </c>
      <c r="C119" t="s">
        <v>38</v>
      </c>
      <c r="D119" t="s">
        <v>12</v>
      </c>
      <c r="E119" t="s">
        <v>22</v>
      </c>
      <c r="F119" t="s">
        <v>23</v>
      </c>
      <c r="G119">
        <v>2</v>
      </c>
      <c r="H119" s="1">
        <v>8.99</v>
      </c>
      <c r="I119" s="1">
        <v>17.98</v>
      </c>
      <c r="J119">
        <v>5</v>
      </c>
      <c r="K119" t="str">
        <f>TEXT(tbl_RawSales[[#This Row],[Order Date]],"mmm")</f>
        <v>Oct</v>
      </c>
      <c r="L119">
        <f>MONTH(tbl_RawSales[[#This Row],[Order Date]])</f>
        <v>10</v>
      </c>
      <c r="M119" t="str">
        <f>TEXT(tbl_RawSales[[#This Row],[Order Date]],"ddd")</f>
        <v>Wed</v>
      </c>
      <c r="N119">
        <f>WEEKDAY(tbl_RawSales[[#This Row],[Order Date]],2)</f>
        <v>3</v>
      </c>
    </row>
    <row r="120" spans="1:14" x14ac:dyDescent="0.25">
      <c r="A120" t="s">
        <v>168</v>
      </c>
      <c r="B120" s="20">
        <v>45396</v>
      </c>
      <c r="C120" t="s">
        <v>28</v>
      </c>
      <c r="D120" t="s">
        <v>17</v>
      </c>
      <c r="E120" t="s">
        <v>36</v>
      </c>
      <c r="F120" t="s">
        <v>14</v>
      </c>
      <c r="G120">
        <v>1</v>
      </c>
      <c r="H120" s="1">
        <v>16.989999999999998</v>
      </c>
      <c r="I120" s="1">
        <v>16.989999999999998</v>
      </c>
      <c r="J120">
        <v>1</v>
      </c>
      <c r="K120" t="str">
        <f>TEXT(tbl_RawSales[[#This Row],[Order Date]],"mmm")</f>
        <v>Apr</v>
      </c>
      <c r="L120">
        <f>MONTH(tbl_RawSales[[#This Row],[Order Date]])</f>
        <v>4</v>
      </c>
      <c r="M120" t="str">
        <f>TEXT(tbl_RawSales[[#This Row],[Order Date]],"ddd")</f>
        <v>Sun</v>
      </c>
      <c r="N120">
        <f>WEEKDAY(tbl_RawSales[[#This Row],[Order Date]],2)</f>
        <v>7</v>
      </c>
    </row>
    <row r="121" spans="1:14" x14ac:dyDescent="0.25">
      <c r="A121" t="s">
        <v>169</v>
      </c>
      <c r="B121" s="20">
        <v>45342</v>
      </c>
      <c r="C121" t="s">
        <v>97</v>
      </c>
      <c r="D121" t="s">
        <v>12</v>
      </c>
      <c r="E121" t="s">
        <v>79</v>
      </c>
      <c r="F121" t="s">
        <v>67</v>
      </c>
      <c r="G121">
        <v>1</v>
      </c>
      <c r="H121" s="1">
        <v>10.99</v>
      </c>
      <c r="I121" s="1">
        <v>10.99</v>
      </c>
      <c r="J121">
        <v>5</v>
      </c>
      <c r="K121" t="str">
        <f>TEXT(tbl_RawSales[[#This Row],[Order Date]],"mmm")</f>
        <v>Feb</v>
      </c>
      <c r="L121">
        <f>MONTH(tbl_RawSales[[#This Row],[Order Date]])</f>
        <v>2</v>
      </c>
      <c r="M121" t="str">
        <f>TEXT(tbl_RawSales[[#This Row],[Order Date]],"ddd")</f>
        <v>Tue</v>
      </c>
      <c r="N121">
        <f>WEEKDAY(tbl_RawSales[[#This Row],[Order Date]],2)</f>
        <v>2</v>
      </c>
    </row>
    <row r="122" spans="1:14" x14ac:dyDescent="0.25">
      <c r="A122" t="s">
        <v>170</v>
      </c>
      <c r="B122" s="20">
        <v>45826</v>
      </c>
      <c r="C122" t="s">
        <v>25</v>
      </c>
      <c r="D122" t="s">
        <v>29</v>
      </c>
      <c r="E122" t="s">
        <v>18</v>
      </c>
      <c r="F122" t="s">
        <v>19</v>
      </c>
      <c r="G122">
        <v>2</v>
      </c>
      <c r="H122" s="1">
        <v>9.99</v>
      </c>
      <c r="I122" s="1">
        <v>19.98</v>
      </c>
      <c r="J122">
        <v>5</v>
      </c>
      <c r="K122" t="str">
        <f>TEXT(tbl_RawSales[[#This Row],[Order Date]],"mmm")</f>
        <v>Jun</v>
      </c>
      <c r="L122">
        <f>MONTH(tbl_RawSales[[#This Row],[Order Date]])</f>
        <v>6</v>
      </c>
      <c r="M122" t="str">
        <f>TEXT(tbl_RawSales[[#This Row],[Order Date]],"ddd")</f>
        <v>Wed</v>
      </c>
      <c r="N122">
        <f>WEEKDAY(tbl_RawSales[[#This Row],[Order Date]],2)</f>
        <v>3</v>
      </c>
    </row>
    <row r="123" spans="1:14" x14ac:dyDescent="0.25">
      <c r="A123" t="s">
        <v>171</v>
      </c>
      <c r="B123" s="20">
        <v>45965</v>
      </c>
      <c r="C123" t="s">
        <v>97</v>
      </c>
      <c r="D123" t="s">
        <v>17</v>
      </c>
      <c r="E123" t="s">
        <v>79</v>
      </c>
      <c r="F123" t="s">
        <v>67</v>
      </c>
      <c r="G123">
        <v>4</v>
      </c>
      <c r="H123" s="1">
        <v>10.99</v>
      </c>
      <c r="I123" s="1">
        <v>43.96</v>
      </c>
      <c r="J123">
        <v>5</v>
      </c>
      <c r="K123" t="str">
        <f>TEXT(tbl_RawSales[[#This Row],[Order Date]],"mmm")</f>
        <v>Nov</v>
      </c>
      <c r="L123">
        <f>MONTH(tbl_RawSales[[#This Row],[Order Date]])</f>
        <v>11</v>
      </c>
      <c r="M123" t="str">
        <f>TEXT(tbl_RawSales[[#This Row],[Order Date]],"ddd")</f>
        <v>Tue</v>
      </c>
      <c r="N123">
        <f>WEEKDAY(tbl_RawSales[[#This Row],[Order Date]],2)</f>
        <v>2</v>
      </c>
    </row>
    <row r="124" spans="1:14" x14ac:dyDescent="0.25">
      <c r="A124" t="s">
        <v>172</v>
      </c>
      <c r="B124" s="20">
        <v>45466</v>
      </c>
      <c r="C124" t="s">
        <v>28</v>
      </c>
      <c r="D124" t="s">
        <v>29</v>
      </c>
      <c r="E124" t="s">
        <v>39</v>
      </c>
      <c r="F124" t="s">
        <v>14</v>
      </c>
      <c r="G124">
        <v>2</v>
      </c>
      <c r="H124" s="1">
        <v>24.99</v>
      </c>
      <c r="I124" s="1">
        <v>49.98</v>
      </c>
      <c r="J124">
        <v>5</v>
      </c>
      <c r="K124" t="str">
        <f>TEXT(tbl_RawSales[[#This Row],[Order Date]],"mmm")</f>
        <v>Jun</v>
      </c>
      <c r="L124">
        <f>MONTH(tbl_RawSales[[#This Row],[Order Date]])</f>
        <v>6</v>
      </c>
      <c r="M124" t="str">
        <f>TEXT(tbl_RawSales[[#This Row],[Order Date]],"ddd")</f>
        <v>Sun</v>
      </c>
      <c r="N124">
        <f>WEEKDAY(tbl_RawSales[[#This Row],[Order Date]],2)</f>
        <v>7</v>
      </c>
    </row>
    <row r="125" spans="1:14" x14ac:dyDescent="0.25">
      <c r="A125" t="s">
        <v>173</v>
      </c>
      <c r="B125" s="20">
        <v>45422</v>
      </c>
      <c r="C125" t="s">
        <v>25</v>
      </c>
      <c r="D125" t="s">
        <v>29</v>
      </c>
      <c r="E125" t="s">
        <v>142</v>
      </c>
      <c r="F125" t="s">
        <v>23</v>
      </c>
      <c r="G125">
        <v>1</v>
      </c>
      <c r="H125" s="1">
        <v>14.99</v>
      </c>
      <c r="I125" s="1">
        <v>14.99</v>
      </c>
      <c r="J125">
        <v>3</v>
      </c>
      <c r="K125" t="str">
        <f>TEXT(tbl_RawSales[[#This Row],[Order Date]],"mmm")</f>
        <v>May</v>
      </c>
      <c r="L125">
        <f>MONTH(tbl_RawSales[[#This Row],[Order Date]])</f>
        <v>5</v>
      </c>
      <c r="M125" t="str">
        <f>TEXT(tbl_RawSales[[#This Row],[Order Date]],"ddd")</f>
        <v>Fri</v>
      </c>
      <c r="N125">
        <f>WEEKDAY(tbl_RawSales[[#This Row],[Order Date]],2)</f>
        <v>5</v>
      </c>
    </row>
    <row r="126" spans="1:14" x14ac:dyDescent="0.25">
      <c r="A126" t="s">
        <v>174</v>
      </c>
      <c r="B126" s="20">
        <v>45621</v>
      </c>
      <c r="C126" t="s">
        <v>34</v>
      </c>
      <c r="D126" t="s">
        <v>29</v>
      </c>
      <c r="E126" t="s">
        <v>52</v>
      </c>
      <c r="F126" t="s">
        <v>19</v>
      </c>
      <c r="G126">
        <v>2</v>
      </c>
      <c r="H126" s="1">
        <v>6.99</v>
      </c>
      <c r="I126" s="1">
        <v>13.98</v>
      </c>
      <c r="J126">
        <v>4</v>
      </c>
      <c r="K126" t="str">
        <f>TEXT(tbl_RawSales[[#This Row],[Order Date]],"mmm")</f>
        <v>Nov</v>
      </c>
      <c r="L126">
        <f>MONTH(tbl_RawSales[[#This Row],[Order Date]])</f>
        <v>11</v>
      </c>
      <c r="M126" t="str">
        <f>TEXT(tbl_RawSales[[#This Row],[Order Date]],"ddd")</f>
        <v>Mon</v>
      </c>
      <c r="N126">
        <f>WEEKDAY(tbl_RawSales[[#This Row],[Order Date]],2)</f>
        <v>1</v>
      </c>
    </row>
    <row r="127" spans="1:14" x14ac:dyDescent="0.25">
      <c r="A127" t="s">
        <v>175</v>
      </c>
      <c r="B127" s="20">
        <v>45353</v>
      </c>
      <c r="C127" t="s">
        <v>25</v>
      </c>
      <c r="D127" t="s">
        <v>29</v>
      </c>
      <c r="E127" t="s">
        <v>176</v>
      </c>
      <c r="F127" t="s">
        <v>67</v>
      </c>
      <c r="G127">
        <v>2</v>
      </c>
      <c r="H127" s="1">
        <v>11.99</v>
      </c>
      <c r="I127" s="1">
        <v>23.98</v>
      </c>
      <c r="J127">
        <v>4</v>
      </c>
      <c r="K127" t="str">
        <f>TEXT(tbl_RawSales[[#This Row],[Order Date]],"mmm")</f>
        <v>Mar</v>
      </c>
      <c r="L127">
        <f>MONTH(tbl_RawSales[[#This Row],[Order Date]])</f>
        <v>3</v>
      </c>
      <c r="M127" t="str">
        <f>TEXT(tbl_RawSales[[#This Row],[Order Date]],"ddd")</f>
        <v>Sat</v>
      </c>
      <c r="N127">
        <f>WEEKDAY(tbl_RawSales[[#This Row],[Order Date]],2)</f>
        <v>6</v>
      </c>
    </row>
    <row r="128" spans="1:14" x14ac:dyDescent="0.25">
      <c r="A128" t="s">
        <v>177</v>
      </c>
      <c r="B128" s="20">
        <v>45507</v>
      </c>
      <c r="C128" t="s">
        <v>38</v>
      </c>
      <c r="D128" t="s">
        <v>12</v>
      </c>
      <c r="E128" t="s">
        <v>112</v>
      </c>
      <c r="F128" t="s">
        <v>19</v>
      </c>
      <c r="G128">
        <v>1</v>
      </c>
      <c r="H128" s="1">
        <v>5.99</v>
      </c>
      <c r="I128" s="1">
        <v>5.99</v>
      </c>
      <c r="J128">
        <v>4</v>
      </c>
      <c r="K128" t="str">
        <f>TEXT(tbl_RawSales[[#This Row],[Order Date]],"mmm")</f>
        <v>Aug</v>
      </c>
      <c r="L128">
        <f>MONTH(tbl_RawSales[[#This Row],[Order Date]])</f>
        <v>8</v>
      </c>
      <c r="M128" t="str">
        <f>TEXT(tbl_RawSales[[#This Row],[Order Date]],"ddd")</f>
        <v>Sat</v>
      </c>
      <c r="N128">
        <f>WEEKDAY(tbl_RawSales[[#This Row],[Order Date]],2)</f>
        <v>6</v>
      </c>
    </row>
    <row r="129" spans="1:14" x14ac:dyDescent="0.25">
      <c r="A129" t="s">
        <v>178</v>
      </c>
      <c r="B129" s="20">
        <v>45493</v>
      </c>
      <c r="C129" t="s">
        <v>11</v>
      </c>
      <c r="D129" t="s">
        <v>29</v>
      </c>
      <c r="E129" t="s">
        <v>66</v>
      </c>
      <c r="F129" t="s">
        <v>67</v>
      </c>
      <c r="G129">
        <v>1</v>
      </c>
      <c r="H129" s="1">
        <v>7.99</v>
      </c>
      <c r="I129" s="1">
        <v>7.99</v>
      </c>
      <c r="J129">
        <v>5</v>
      </c>
      <c r="K129" t="str">
        <f>TEXT(tbl_RawSales[[#This Row],[Order Date]],"mmm")</f>
        <v>Jul</v>
      </c>
      <c r="L129">
        <f>MONTH(tbl_RawSales[[#This Row],[Order Date]])</f>
        <v>7</v>
      </c>
      <c r="M129" t="str">
        <f>TEXT(tbl_RawSales[[#This Row],[Order Date]],"ddd")</f>
        <v>Sat</v>
      </c>
      <c r="N129">
        <f>WEEKDAY(tbl_RawSales[[#This Row],[Order Date]],2)</f>
        <v>6</v>
      </c>
    </row>
    <row r="130" spans="1:14" x14ac:dyDescent="0.25">
      <c r="A130" t="s">
        <v>179</v>
      </c>
      <c r="B130" s="20">
        <v>45492</v>
      </c>
      <c r="C130" t="s">
        <v>45</v>
      </c>
      <c r="D130" t="s">
        <v>29</v>
      </c>
      <c r="E130" t="s">
        <v>83</v>
      </c>
      <c r="F130" t="s">
        <v>14</v>
      </c>
      <c r="G130">
        <v>1</v>
      </c>
      <c r="H130" s="1">
        <v>17.989999999999998</v>
      </c>
      <c r="I130" s="1">
        <v>17.989999999999998</v>
      </c>
      <c r="J130">
        <v>5</v>
      </c>
      <c r="K130" t="str">
        <f>TEXT(tbl_RawSales[[#This Row],[Order Date]],"mmm")</f>
        <v>Jul</v>
      </c>
      <c r="L130">
        <f>MONTH(tbl_RawSales[[#This Row],[Order Date]])</f>
        <v>7</v>
      </c>
      <c r="M130" t="str">
        <f>TEXT(tbl_RawSales[[#This Row],[Order Date]],"ddd")</f>
        <v>Fri</v>
      </c>
      <c r="N130">
        <f>WEEKDAY(tbl_RawSales[[#This Row],[Order Date]],2)</f>
        <v>5</v>
      </c>
    </row>
    <row r="131" spans="1:14" x14ac:dyDescent="0.25">
      <c r="A131" t="s">
        <v>180</v>
      </c>
      <c r="B131" s="20">
        <v>45688</v>
      </c>
      <c r="C131" t="s">
        <v>32</v>
      </c>
      <c r="D131" t="s">
        <v>17</v>
      </c>
      <c r="E131" t="s">
        <v>112</v>
      </c>
      <c r="F131" t="s">
        <v>19</v>
      </c>
      <c r="G131">
        <v>4</v>
      </c>
      <c r="H131" s="1">
        <v>5.99</v>
      </c>
      <c r="I131" s="1">
        <v>23.96</v>
      </c>
      <c r="J131">
        <v>4</v>
      </c>
      <c r="K131" t="str">
        <f>TEXT(tbl_RawSales[[#This Row],[Order Date]],"mmm")</f>
        <v>Jan</v>
      </c>
      <c r="L131">
        <f>MONTH(tbl_RawSales[[#This Row],[Order Date]])</f>
        <v>1</v>
      </c>
      <c r="M131" t="str">
        <f>TEXT(tbl_RawSales[[#This Row],[Order Date]],"ddd")</f>
        <v>Fri</v>
      </c>
      <c r="N131">
        <f>WEEKDAY(tbl_RawSales[[#This Row],[Order Date]],2)</f>
        <v>5</v>
      </c>
    </row>
    <row r="132" spans="1:14" x14ac:dyDescent="0.25">
      <c r="A132" t="s">
        <v>181</v>
      </c>
      <c r="B132" s="20">
        <v>45304</v>
      </c>
      <c r="C132" t="s">
        <v>11</v>
      </c>
      <c r="D132" t="s">
        <v>29</v>
      </c>
      <c r="E132" t="s">
        <v>13</v>
      </c>
      <c r="F132" t="s">
        <v>14</v>
      </c>
      <c r="G132">
        <v>3</v>
      </c>
      <c r="H132" s="1">
        <v>18.989999999999998</v>
      </c>
      <c r="I132" s="1">
        <v>56.97</v>
      </c>
      <c r="J132">
        <v>3</v>
      </c>
      <c r="K132" t="str">
        <f>TEXT(tbl_RawSales[[#This Row],[Order Date]],"mmm")</f>
        <v>Jan</v>
      </c>
      <c r="L132">
        <f>MONTH(tbl_RawSales[[#This Row],[Order Date]])</f>
        <v>1</v>
      </c>
      <c r="M132" t="str">
        <f>TEXT(tbl_RawSales[[#This Row],[Order Date]],"ddd")</f>
        <v>Sat</v>
      </c>
      <c r="N132">
        <f>WEEKDAY(tbl_RawSales[[#This Row],[Order Date]],2)</f>
        <v>6</v>
      </c>
    </row>
    <row r="133" spans="1:14" x14ac:dyDescent="0.25">
      <c r="A133" t="s">
        <v>182</v>
      </c>
      <c r="B133" s="20">
        <v>45629</v>
      </c>
      <c r="C133" t="s">
        <v>38</v>
      </c>
      <c r="D133" t="s">
        <v>29</v>
      </c>
      <c r="E133" t="s">
        <v>74</v>
      </c>
      <c r="F133" t="s">
        <v>14</v>
      </c>
      <c r="G133">
        <v>1</v>
      </c>
      <c r="H133" s="1">
        <v>14.99</v>
      </c>
      <c r="I133" s="1">
        <v>14.99</v>
      </c>
      <c r="J133">
        <v>1</v>
      </c>
      <c r="K133" t="str">
        <f>TEXT(tbl_RawSales[[#This Row],[Order Date]],"mmm")</f>
        <v>Dec</v>
      </c>
      <c r="L133">
        <f>MONTH(tbl_RawSales[[#This Row],[Order Date]])</f>
        <v>12</v>
      </c>
      <c r="M133" t="str">
        <f>TEXT(tbl_RawSales[[#This Row],[Order Date]],"ddd")</f>
        <v>Tue</v>
      </c>
      <c r="N133">
        <f>WEEKDAY(tbl_RawSales[[#This Row],[Order Date]],2)</f>
        <v>2</v>
      </c>
    </row>
    <row r="134" spans="1:14" x14ac:dyDescent="0.25">
      <c r="A134" t="s">
        <v>183</v>
      </c>
      <c r="B134" s="20">
        <v>45707</v>
      </c>
      <c r="C134" t="s">
        <v>11</v>
      </c>
      <c r="D134" t="s">
        <v>17</v>
      </c>
      <c r="E134" t="s">
        <v>112</v>
      </c>
      <c r="F134" t="s">
        <v>19</v>
      </c>
      <c r="G134">
        <v>2</v>
      </c>
      <c r="H134" s="1">
        <v>5.99</v>
      </c>
      <c r="I134" s="1">
        <v>11.98</v>
      </c>
      <c r="J134">
        <v>4</v>
      </c>
      <c r="K134" t="str">
        <f>TEXT(tbl_RawSales[[#This Row],[Order Date]],"mmm")</f>
        <v>Feb</v>
      </c>
      <c r="L134">
        <f>MONTH(tbl_RawSales[[#This Row],[Order Date]])</f>
        <v>2</v>
      </c>
      <c r="M134" t="str">
        <f>TEXT(tbl_RawSales[[#This Row],[Order Date]],"ddd")</f>
        <v>Wed</v>
      </c>
      <c r="N134">
        <f>WEEKDAY(tbl_RawSales[[#This Row],[Order Date]],2)</f>
        <v>3</v>
      </c>
    </row>
    <row r="135" spans="1:14" x14ac:dyDescent="0.25">
      <c r="A135" t="s">
        <v>184</v>
      </c>
      <c r="B135" s="20">
        <v>45445</v>
      </c>
      <c r="C135" t="s">
        <v>45</v>
      </c>
      <c r="D135" t="s">
        <v>12</v>
      </c>
      <c r="E135" t="s">
        <v>36</v>
      </c>
      <c r="F135" t="s">
        <v>14</v>
      </c>
      <c r="G135">
        <v>2</v>
      </c>
      <c r="H135" s="1">
        <v>16.989999999999998</v>
      </c>
      <c r="I135" s="1">
        <v>33.979999999999997</v>
      </c>
      <c r="J135">
        <v>3</v>
      </c>
      <c r="K135" t="str">
        <f>TEXT(tbl_RawSales[[#This Row],[Order Date]],"mmm")</f>
        <v>Jun</v>
      </c>
      <c r="L135">
        <f>MONTH(tbl_RawSales[[#This Row],[Order Date]])</f>
        <v>6</v>
      </c>
      <c r="M135" t="str">
        <f>TEXT(tbl_RawSales[[#This Row],[Order Date]],"ddd")</f>
        <v>Sun</v>
      </c>
      <c r="N135">
        <f>WEEKDAY(tbl_RawSales[[#This Row],[Order Date]],2)</f>
        <v>7</v>
      </c>
    </row>
    <row r="136" spans="1:14" x14ac:dyDescent="0.25">
      <c r="A136" t="s">
        <v>185</v>
      </c>
      <c r="B136" s="20">
        <v>45936</v>
      </c>
      <c r="C136" t="s">
        <v>28</v>
      </c>
      <c r="D136" t="s">
        <v>12</v>
      </c>
      <c r="E136" t="s">
        <v>43</v>
      </c>
      <c r="F136" t="s">
        <v>23</v>
      </c>
      <c r="G136">
        <v>1</v>
      </c>
      <c r="H136" s="1">
        <v>11.99</v>
      </c>
      <c r="I136" s="1">
        <v>11.99</v>
      </c>
      <c r="J136">
        <v>4</v>
      </c>
      <c r="K136" t="str">
        <f>TEXT(tbl_RawSales[[#This Row],[Order Date]],"mmm")</f>
        <v>Oct</v>
      </c>
      <c r="L136">
        <f>MONTH(tbl_RawSales[[#This Row],[Order Date]])</f>
        <v>10</v>
      </c>
      <c r="M136" t="str">
        <f>TEXT(tbl_RawSales[[#This Row],[Order Date]],"ddd")</f>
        <v>Mon</v>
      </c>
      <c r="N136">
        <f>WEEKDAY(tbl_RawSales[[#This Row],[Order Date]],2)</f>
        <v>1</v>
      </c>
    </row>
    <row r="137" spans="1:14" x14ac:dyDescent="0.25">
      <c r="A137" t="s">
        <v>186</v>
      </c>
      <c r="B137" s="20">
        <v>45368</v>
      </c>
      <c r="C137" t="s">
        <v>97</v>
      </c>
      <c r="D137" t="s">
        <v>12</v>
      </c>
      <c r="E137" t="s">
        <v>46</v>
      </c>
      <c r="F137" t="s">
        <v>14</v>
      </c>
      <c r="G137">
        <v>2</v>
      </c>
      <c r="H137" s="1">
        <v>32.99</v>
      </c>
      <c r="I137" s="1">
        <v>65.98</v>
      </c>
      <c r="J137">
        <v>2</v>
      </c>
      <c r="K137" t="str">
        <f>TEXT(tbl_RawSales[[#This Row],[Order Date]],"mmm")</f>
        <v>Mar</v>
      </c>
      <c r="L137">
        <f>MONTH(tbl_RawSales[[#This Row],[Order Date]])</f>
        <v>3</v>
      </c>
      <c r="M137" t="str">
        <f>TEXT(tbl_RawSales[[#This Row],[Order Date]],"ddd")</f>
        <v>Sun</v>
      </c>
      <c r="N137">
        <f>WEEKDAY(tbl_RawSales[[#This Row],[Order Date]],2)</f>
        <v>7</v>
      </c>
    </row>
    <row r="138" spans="1:14" x14ac:dyDescent="0.25">
      <c r="A138" t="s">
        <v>187</v>
      </c>
      <c r="B138" s="20">
        <v>45554</v>
      </c>
      <c r="C138" t="s">
        <v>11</v>
      </c>
      <c r="D138" t="s">
        <v>17</v>
      </c>
      <c r="E138" t="s">
        <v>112</v>
      </c>
      <c r="F138" t="s">
        <v>19</v>
      </c>
      <c r="G138">
        <v>1</v>
      </c>
      <c r="H138" s="1">
        <v>5.99</v>
      </c>
      <c r="I138" s="1">
        <v>5.99</v>
      </c>
      <c r="J138">
        <v>3</v>
      </c>
      <c r="K138" t="str">
        <f>TEXT(tbl_RawSales[[#This Row],[Order Date]],"mmm")</f>
        <v>Sept</v>
      </c>
      <c r="L138">
        <f>MONTH(tbl_RawSales[[#This Row],[Order Date]])</f>
        <v>9</v>
      </c>
      <c r="M138" t="str">
        <f>TEXT(tbl_RawSales[[#This Row],[Order Date]],"ddd")</f>
        <v>Thu</v>
      </c>
      <c r="N138">
        <f>WEEKDAY(tbl_RawSales[[#This Row],[Order Date]],2)</f>
        <v>4</v>
      </c>
    </row>
    <row r="139" spans="1:14" x14ac:dyDescent="0.25">
      <c r="A139" t="s">
        <v>188</v>
      </c>
      <c r="B139" s="20">
        <v>45738</v>
      </c>
      <c r="C139" t="s">
        <v>16</v>
      </c>
      <c r="D139" t="s">
        <v>29</v>
      </c>
      <c r="E139" t="s">
        <v>57</v>
      </c>
      <c r="F139" t="s">
        <v>14</v>
      </c>
      <c r="G139">
        <v>1</v>
      </c>
      <c r="H139" s="1">
        <v>15.99</v>
      </c>
      <c r="I139" s="1">
        <v>15.99</v>
      </c>
      <c r="J139">
        <v>4</v>
      </c>
      <c r="K139" t="str">
        <f>TEXT(tbl_RawSales[[#This Row],[Order Date]],"mmm")</f>
        <v>Mar</v>
      </c>
      <c r="L139">
        <f>MONTH(tbl_RawSales[[#This Row],[Order Date]])</f>
        <v>3</v>
      </c>
      <c r="M139" t="str">
        <f>TEXT(tbl_RawSales[[#This Row],[Order Date]],"ddd")</f>
        <v>Sat</v>
      </c>
      <c r="N139">
        <f>WEEKDAY(tbl_RawSales[[#This Row],[Order Date]],2)</f>
        <v>6</v>
      </c>
    </row>
    <row r="140" spans="1:14" x14ac:dyDescent="0.25">
      <c r="A140" t="s">
        <v>189</v>
      </c>
      <c r="B140" s="20">
        <v>45576</v>
      </c>
      <c r="C140" t="s">
        <v>28</v>
      </c>
      <c r="D140" t="s">
        <v>17</v>
      </c>
      <c r="E140" t="s">
        <v>52</v>
      </c>
      <c r="F140" t="s">
        <v>19</v>
      </c>
      <c r="G140">
        <v>1</v>
      </c>
      <c r="H140" s="1">
        <v>6.99</v>
      </c>
      <c r="I140" s="1">
        <v>6.99</v>
      </c>
      <c r="J140">
        <v>4</v>
      </c>
      <c r="K140" t="str">
        <f>TEXT(tbl_RawSales[[#This Row],[Order Date]],"mmm")</f>
        <v>Oct</v>
      </c>
      <c r="L140">
        <f>MONTH(tbl_RawSales[[#This Row],[Order Date]])</f>
        <v>10</v>
      </c>
      <c r="M140" t="str">
        <f>TEXT(tbl_RawSales[[#This Row],[Order Date]],"ddd")</f>
        <v>Fri</v>
      </c>
      <c r="N140">
        <f>WEEKDAY(tbl_RawSales[[#This Row],[Order Date]],2)</f>
        <v>5</v>
      </c>
    </row>
    <row r="141" spans="1:14" x14ac:dyDescent="0.25">
      <c r="A141" t="s">
        <v>190</v>
      </c>
      <c r="B141" s="20">
        <v>45545</v>
      </c>
      <c r="C141" t="s">
        <v>28</v>
      </c>
      <c r="D141" t="s">
        <v>17</v>
      </c>
      <c r="E141" t="s">
        <v>26</v>
      </c>
      <c r="F141" t="s">
        <v>19</v>
      </c>
      <c r="G141">
        <v>3</v>
      </c>
      <c r="H141" s="1">
        <v>3.49</v>
      </c>
      <c r="I141" s="1">
        <v>10.47</v>
      </c>
      <c r="J141">
        <v>4</v>
      </c>
      <c r="K141" t="str">
        <f>TEXT(tbl_RawSales[[#This Row],[Order Date]],"mmm")</f>
        <v>Sept</v>
      </c>
      <c r="L141">
        <f>MONTH(tbl_RawSales[[#This Row],[Order Date]])</f>
        <v>9</v>
      </c>
      <c r="M141" t="str">
        <f>TEXT(tbl_RawSales[[#This Row],[Order Date]],"ddd")</f>
        <v>Tue</v>
      </c>
      <c r="N141">
        <f>WEEKDAY(tbl_RawSales[[#This Row],[Order Date]],2)</f>
        <v>2</v>
      </c>
    </row>
    <row r="142" spans="1:14" x14ac:dyDescent="0.25">
      <c r="A142" t="s">
        <v>191</v>
      </c>
      <c r="B142" s="20">
        <v>45837</v>
      </c>
      <c r="C142" t="s">
        <v>38</v>
      </c>
      <c r="D142" t="s">
        <v>17</v>
      </c>
      <c r="E142" t="s">
        <v>142</v>
      </c>
      <c r="F142" t="s">
        <v>23</v>
      </c>
      <c r="G142">
        <v>1</v>
      </c>
      <c r="H142" s="1">
        <v>14.99</v>
      </c>
      <c r="I142" s="1">
        <v>14.99</v>
      </c>
      <c r="J142">
        <v>5</v>
      </c>
      <c r="K142" t="str">
        <f>TEXT(tbl_RawSales[[#This Row],[Order Date]],"mmm")</f>
        <v>Jun</v>
      </c>
      <c r="L142">
        <f>MONTH(tbl_RawSales[[#This Row],[Order Date]])</f>
        <v>6</v>
      </c>
      <c r="M142" t="str">
        <f>TEXT(tbl_RawSales[[#This Row],[Order Date]],"ddd")</f>
        <v>Sun</v>
      </c>
      <c r="N142">
        <f>WEEKDAY(tbl_RawSales[[#This Row],[Order Date]],2)</f>
        <v>7</v>
      </c>
    </row>
    <row r="143" spans="1:14" x14ac:dyDescent="0.25">
      <c r="A143" t="s">
        <v>192</v>
      </c>
      <c r="B143" s="20">
        <v>45958</v>
      </c>
      <c r="C143" t="s">
        <v>45</v>
      </c>
      <c r="D143" t="s">
        <v>17</v>
      </c>
      <c r="E143" t="s">
        <v>43</v>
      </c>
      <c r="F143" t="s">
        <v>23</v>
      </c>
      <c r="G143">
        <v>2</v>
      </c>
      <c r="H143" s="1">
        <v>11.99</v>
      </c>
      <c r="I143" s="1">
        <v>23.98</v>
      </c>
      <c r="J143">
        <v>3</v>
      </c>
      <c r="K143" t="str">
        <f>TEXT(tbl_RawSales[[#This Row],[Order Date]],"mmm")</f>
        <v>Oct</v>
      </c>
      <c r="L143">
        <f>MONTH(tbl_RawSales[[#This Row],[Order Date]])</f>
        <v>10</v>
      </c>
      <c r="M143" t="str">
        <f>TEXT(tbl_RawSales[[#This Row],[Order Date]],"ddd")</f>
        <v>Tue</v>
      </c>
      <c r="N143">
        <f>WEEKDAY(tbl_RawSales[[#This Row],[Order Date]],2)</f>
        <v>2</v>
      </c>
    </row>
    <row r="144" spans="1:14" x14ac:dyDescent="0.25">
      <c r="A144" t="s">
        <v>193</v>
      </c>
      <c r="B144" s="20">
        <v>45296</v>
      </c>
      <c r="C144" t="s">
        <v>28</v>
      </c>
      <c r="D144" t="s">
        <v>29</v>
      </c>
      <c r="E144" t="s">
        <v>112</v>
      </c>
      <c r="F144" t="s">
        <v>19</v>
      </c>
      <c r="G144">
        <v>2</v>
      </c>
      <c r="H144" s="1">
        <v>5.99</v>
      </c>
      <c r="I144" s="1">
        <v>11.98</v>
      </c>
      <c r="J144">
        <v>4</v>
      </c>
      <c r="K144" t="str">
        <f>TEXT(tbl_RawSales[[#This Row],[Order Date]],"mmm")</f>
        <v>Jan</v>
      </c>
      <c r="L144">
        <f>MONTH(tbl_RawSales[[#This Row],[Order Date]])</f>
        <v>1</v>
      </c>
      <c r="M144" t="str">
        <f>TEXT(tbl_RawSales[[#This Row],[Order Date]],"ddd")</f>
        <v>Fri</v>
      </c>
      <c r="N144">
        <f>WEEKDAY(tbl_RawSales[[#This Row],[Order Date]],2)</f>
        <v>5</v>
      </c>
    </row>
    <row r="145" spans="1:14" x14ac:dyDescent="0.25">
      <c r="A145" t="s">
        <v>194</v>
      </c>
      <c r="B145" s="20">
        <v>45396</v>
      </c>
      <c r="C145" t="s">
        <v>11</v>
      </c>
      <c r="D145" t="s">
        <v>12</v>
      </c>
      <c r="E145" t="s">
        <v>142</v>
      </c>
      <c r="F145" t="s">
        <v>23</v>
      </c>
      <c r="G145">
        <v>4</v>
      </c>
      <c r="H145" s="1">
        <v>14.99</v>
      </c>
      <c r="I145" s="1">
        <v>59.96</v>
      </c>
      <c r="J145">
        <v>3</v>
      </c>
      <c r="K145" t="str">
        <f>TEXT(tbl_RawSales[[#This Row],[Order Date]],"mmm")</f>
        <v>Apr</v>
      </c>
      <c r="L145">
        <f>MONTH(tbl_RawSales[[#This Row],[Order Date]])</f>
        <v>4</v>
      </c>
      <c r="M145" t="str">
        <f>TEXT(tbl_RawSales[[#This Row],[Order Date]],"ddd")</f>
        <v>Sun</v>
      </c>
      <c r="N145">
        <f>WEEKDAY(tbl_RawSales[[#This Row],[Order Date]],2)</f>
        <v>7</v>
      </c>
    </row>
    <row r="146" spans="1:14" x14ac:dyDescent="0.25">
      <c r="A146" t="s">
        <v>195</v>
      </c>
      <c r="B146" s="20">
        <v>45900</v>
      </c>
      <c r="C146" t="s">
        <v>32</v>
      </c>
      <c r="D146" t="s">
        <v>17</v>
      </c>
      <c r="E146" t="s">
        <v>46</v>
      </c>
      <c r="F146" t="s">
        <v>14</v>
      </c>
      <c r="G146">
        <v>4</v>
      </c>
      <c r="H146" s="1">
        <v>32.99</v>
      </c>
      <c r="I146" s="1">
        <v>131.96</v>
      </c>
      <c r="J146">
        <v>5</v>
      </c>
      <c r="K146" t="str">
        <f>TEXT(tbl_RawSales[[#This Row],[Order Date]],"mmm")</f>
        <v>Aug</v>
      </c>
      <c r="L146">
        <f>MONTH(tbl_RawSales[[#This Row],[Order Date]])</f>
        <v>8</v>
      </c>
      <c r="M146" t="str">
        <f>TEXT(tbl_RawSales[[#This Row],[Order Date]],"ddd")</f>
        <v>Sun</v>
      </c>
      <c r="N146">
        <f>WEEKDAY(tbl_RawSales[[#This Row],[Order Date]],2)</f>
        <v>7</v>
      </c>
    </row>
    <row r="147" spans="1:14" x14ac:dyDescent="0.25">
      <c r="A147" t="s">
        <v>196</v>
      </c>
      <c r="B147" s="20">
        <v>45396</v>
      </c>
      <c r="C147" t="s">
        <v>28</v>
      </c>
      <c r="D147" t="s">
        <v>29</v>
      </c>
      <c r="E147" t="s">
        <v>57</v>
      </c>
      <c r="F147" t="s">
        <v>14</v>
      </c>
      <c r="G147">
        <v>1</v>
      </c>
      <c r="H147" s="1">
        <v>15.99</v>
      </c>
      <c r="I147" s="1">
        <v>15.99</v>
      </c>
      <c r="J147">
        <v>3</v>
      </c>
      <c r="K147" t="str">
        <f>TEXT(tbl_RawSales[[#This Row],[Order Date]],"mmm")</f>
        <v>Apr</v>
      </c>
      <c r="L147">
        <f>MONTH(tbl_RawSales[[#This Row],[Order Date]])</f>
        <v>4</v>
      </c>
      <c r="M147" t="str">
        <f>TEXT(tbl_RawSales[[#This Row],[Order Date]],"ddd")</f>
        <v>Sun</v>
      </c>
      <c r="N147">
        <f>WEEKDAY(tbl_RawSales[[#This Row],[Order Date]],2)</f>
        <v>7</v>
      </c>
    </row>
    <row r="148" spans="1:14" x14ac:dyDescent="0.25">
      <c r="A148" t="s">
        <v>197</v>
      </c>
      <c r="B148" s="20">
        <v>45498</v>
      </c>
      <c r="C148" t="s">
        <v>45</v>
      </c>
      <c r="D148" t="s">
        <v>29</v>
      </c>
      <c r="E148" t="s">
        <v>13</v>
      </c>
      <c r="F148" t="s">
        <v>14</v>
      </c>
      <c r="G148">
        <v>1</v>
      </c>
      <c r="H148" s="1">
        <v>18.989999999999998</v>
      </c>
      <c r="I148" s="1">
        <v>18.989999999999998</v>
      </c>
      <c r="J148">
        <v>4</v>
      </c>
      <c r="K148" t="str">
        <f>TEXT(tbl_RawSales[[#This Row],[Order Date]],"mmm")</f>
        <v>Jul</v>
      </c>
      <c r="L148">
        <f>MONTH(tbl_RawSales[[#This Row],[Order Date]])</f>
        <v>7</v>
      </c>
      <c r="M148" t="str">
        <f>TEXT(tbl_RawSales[[#This Row],[Order Date]],"ddd")</f>
        <v>Thu</v>
      </c>
      <c r="N148">
        <f>WEEKDAY(tbl_RawSales[[#This Row],[Order Date]],2)</f>
        <v>4</v>
      </c>
    </row>
    <row r="149" spans="1:14" x14ac:dyDescent="0.25">
      <c r="A149" t="s">
        <v>198</v>
      </c>
      <c r="B149" s="20">
        <v>45752</v>
      </c>
      <c r="C149" t="s">
        <v>25</v>
      </c>
      <c r="D149" t="s">
        <v>29</v>
      </c>
      <c r="E149" t="s">
        <v>30</v>
      </c>
      <c r="F149" t="s">
        <v>19</v>
      </c>
      <c r="G149">
        <v>2</v>
      </c>
      <c r="H149" s="1">
        <v>7.99</v>
      </c>
      <c r="I149" s="1">
        <v>15.98</v>
      </c>
      <c r="J149">
        <v>4</v>
      </c>
      <c r="K149" t="str">
        <f>TEXT(tbl_RawSales[[#This Row],[Order Date]],"mmm")</f>
        <v>Apr</v>
      </c>
      <c r="L149">
        <f>MONTH(tbl_RawSales[[#This Row],[Order Date]])</f>
        <v>4</v>
      </c>
      <c r="M149" t="str">
        <f>TEXT(tbl_RawSales[[#This Row],[Order Date]],"ddd")</f>
        <v>Sat</v>
      </c>
      <c r="N149">
        <f>WEEKDAY(tbl_RawSales[[#This Row],[Order Date]],2)</f>
        <v>6</v>
      </c>
    </row>
    <row r="150" spans="1:14" x14ac:dyDescent="0.25">
      <c r="A150" t="s">
        <v>199</v>
      </c>
      <c r="B150" s="20">
        <v>45753</v>
      </c>
      <c r="C150" t="s">
        <v>25</v>
      </c>
      <c r="D150" t="s">
        <v>12</v>
      </c>
      <c r="E150" t="s">
        <v>36</v>
      </c>
      <c r="F150" t="s">
        <v>14</v>
      </c>
      <c r="G150">
        <v>4</v>
      </c>
      <c r="H150" s="1">
        <v>16.989999999999998</v>
      </c>
      <c r="I150" s="1">
        <v>67.959999999999994</v>
      </c>
      <c r="J150">
        <v>4</v>
      </c>
      <c r="K150" t="str">
        <f>TEXT(tbl_RawSales[[#This Row],[Order Date]],"mmm")</f>
        <v>Apr</v>
      </c>
      <c r="L150">
        <f>MONTH(tbl_RawSales[[#This Row],[Order Date]])</f>
        <v>4</v>
      </c>
      <c r="M150" t="str">
        <f>TEXT(tbl_RawSales[[#This Row],[Order Date]],"ddd")</f>
        <v>Sun</v>
      </c>
      <c r="N150">
        <f>WEEKDAY(tbl_RawSales[[#This Row],[Order Date]],2)</f>
        <v>7</v>
      </c>
    </row>
    <row r="151" spans="1:14" x14ac:dyDescent="0.25">
      <c r="A151" t="s">
        <v>200</v>
      </c>
      <c r="B151" s="20">
        <v>45919</v>
      </c>
      <c r="C151" t="s">
        <v>28</v>
      </c>
      <c r="D151" t="s">
        <v>29</v>
      </c>
      <c r="E151" t="s">
        <v>39</v>
      </c>
      <c r="F151" t="s">
        <v>14</v>
      </c>
      <c r="G151">
        <v>1</v>
      </c>
      <c r="H151" s="1">
        <v>24.99</v>
      </c>
      <c r="I151" s="1">
        <v>24.99</v>
      </c>
      <c r="J151">
        <v>4</v>
      </c>
      <c r="K151" t="str">
        <f>TEXT(tbl_RawSales[[#This Row],[Order Date]],"mmm")</f>
        <v>Sept</v>
      </c>
      <c r="L151">
        <f>MONTH(tbl_RawSales[[#This Row],[Order Date]])</f>
        <v>9</v>
      </c>
      <c r="M151" t="str">
        <f>TEXT(tbl_RawSales[[#This Row],[Order Date]],"ddd")</f>
        <v>Fri</v>
      </c>
      <c r="N151">
        <f>WEEKDAY(tbl_RawSales[[#This Row],[Order Date]],2)</f>
        <v>5</v>
      </c>
    </row>
    <row r="152" spans="1:14" x14ac:dyDescent="0.25">
      <c r="A152" t="s">
        <v>201</v>
      </c>
      <c r="B152" s="20">
        <v>45299</v>
      </c>
      <c r="C152" t="s">
        <v>28</v>
      </c>
      <c r="D152" t="s">
        <v>17</v>
      </c>
      <c r="E152" t="s">
        <v>79</v>
      </c>
      <c r="F152" t="s">
        <v>67</v>
      </c>
      <c r="G152">
        <v>2</v>
      </c>
      <c r="H152" s="1">
        <v>10.99</v>
      </c>
      <c r="I152" s="1">
        <v>21.98</v>
      </c>
      <c r="J152">
        <v>5</v>
      </c>
      <c r="K152" t="str">
        <f>TEXT(tbl_RawSales[[#This Row],[Order Date]],"mmm")</f>
        <v>Jan</v>
      </c>
      <c r="L152">
        <f>MONTH(tbl_RawSales[[#This Row],[Order Date]])</f>
        <v>1</v>
      </c>
      <c r="M152" t="str">
        <f>TEXT(tbl_RawSales[[#This Row],[Order Date]],"ddd")</f>
        <v>Mon</v>
      </c>
      <c r="N152">
        <f>WEEKDAY(tbl_RawSales[[#This Row],[Order Date]],2)</f>
        <v>1</v>
      </c>
    </row>
    <row r="153" spans="1:14" x14ac:dyDescent="0.25">
      <c r="A153" t="s">
        <v>202</v>
      </c>
      <c r="B153" s="20">
        <v>45996</v>
      </c>
      <c r="C153" t="s">
        <v>16</v>
      </c>
      <c r="D153" t="s">
        <v>12</v>
      </c>
      <c r="E153" t="s">
        <v>39</v>
      </c>
      <c r="F153" t="s">
        <v>14</v>
      </c>
      <c r="G153">
        <v>3</v>
      </c>
      <c r="H153" s="1">
        <v>24.99</v>
      </c>
      <c r="I153" s="1">
        <v>74.97</v>
      </c>
      <c r="J153">
        <v>5</v>
      </c>
      <c r="K153" t="str">
        <f>TEXT(tbl_RawSales[[#This Row],[Order Date]],"mmm")</f>
        <v>Dec</v>
      </c>
      <c r="L153">
        <f>MONTH(tbl_RawSales[[#This Row],[Order Date]])</f>
        <v>12</v>
      </c>
      <c r="M153" t="str">
        <f>TEXT(tbl_RawSales[[#This Row],[Order Date]],"ddd")</f>
        <v>Fri</v>
      </c>
      <c r="N153">
        <f>WEEKDAY(tbl_RawSales[[#This Row],[Order Date]],2)</f>
        <v>5</v>
      </c>
    </row>
    <row r="154" spans="1:14" x14ac:dyDescent="0.25">
      <c r="A154" t="s">
        <v>203</v>
      </c>
      <c r="B154" s="20">
        <v>45889</v>
      </c>
      <c r="C154" t="s">
        <v>32</v>
      </c>
      <c r="D154" t="s">
        <v>12</v>
      </c>
      <c r="E154" t="s">
        <v>66</v>
      </c>
      <c r="F154" t="s">
        <v>67</v>
      </c>
      <c r="G154">
        <v>1</v>
      </c>
      <c r="H154" s="1">
        <v>7.99</v>
      </c>
      <c r="I154" s="1">
        <v>7.99</v>
      </c>
      <c r="J154">
        <v>3</v>
      </c>
      <c r="K154" t="str">
        <f>TEXT(tbl_RawSales[[#This Row],[Order Date]],"mmm")</f>
        <v>Aug</v>
      </c>
      <c r="L154">
        <f>MONTH(tbl_RawSales[[#This Row],[Order Date]])</f>
        <v>8</v>
      </c>
      <c r="M154" t="str">
        <f>TEXT(tbl_RawSales[[#This Row],[Order Date]],"ddd")</f>
        <v>Wed</v>
      </c>
      <c r="N154">
        <f>WEEKDAY(tbl_RawSales[[#This Row],[Order Date]],2)</f>
        <v>3</v>
      </c>
    </row>
    <row r="155" spans="1:14" x14ac:dyDescent="0.25">
      <c r="A155" t="s">
        <v>204</v>
      </c>
      <c r="B155" s="20">
        <v>45450</v>
      </c>
      <c r="C155" t="s">
        <v>28</v>
      </c>
      <c r="D155" t="s">
        <v>17</v>
      </c>
      <c r="E155" t="s">
        <v>57</v>
      </c>
      <c r="F155" t="s">
        <v>14</v>
      </c>
      <c r="G155">
        <v>2</v>
      </c>
      <c r="H155" s="1">
        <v>15.99</v>
      </c>
      <c r="I155" s="1">
        <v>31.98</v>
      </c>
      <c r="J155">
        <v>1</v>
      </c>
      <c r="K155" t="str">
        <f>TEXT(tbl_RawSales[[#This Row],[Order Date]],"mmm")</f>
        <v>Jun</v>
      </c>
      <c r="L155">
        <f>MONTH(tbl_RawSales[[#This Row],[Order Date]])</f>
        <v>6</v>
      </c>
      <c r="M155" t="str">
        <f>TEXT(tbl_RawSales[[#This Row],[Order Date]],"ddd")</f>
        <v>Fri</v>
      </c>
      <c r="N155">
        <f>WEEKDAY(tbl_RawSales[[#This Row],[Order Date]],2)</f>
        <v>5</v>
      </c>
    </row>
    <row r="156" spans="1:14" x14ac:dyDescent="0.25">
      <c r="A156" t="s">
        <v>205</v>
      </c>
      <c r="B156" s="20">
        <v>45437</v>
      </c>
      <c r="C156" t="s">
        <v>34</v>
      </c>
      <c r="D156" t="s">
        <v>17</v>
      </c>
      <c r="E156" t="s">
        <v>83</v>
      </c>
      <c r="F156" t="s">
        <v>14</v>
      </c>
      <c r="G156">
        <v>1</v>
      </c>
      <c r="H156" s="1">
        <v>17.989999999999998</v>
      </c>
      <c r="I156" s="1">
        <v>17.989999999999998</v>
      </c>
      <c r="J156">
        <v>3</v>
      </c>
      <c r="K156" t="str">
        <f>TEXT(tbl_RawSales[[#This Row],[Order Date]],"mmm")</f>
        <v>May</v>
      </c>
      <c r="L156">
        <f>MONTH(tbl_RawSales[[#This Row],[Order Date]])</f>
        <v>5</v>
      </c>
      <c r="M156" t="str">
        <f>TEXT(tbl_RawSales[[#This Row],[Order Date]],"ddd")</f>
        <v>Sat</v>
      </c>
      <c r="N156">
        <f>WEEKDAY(tbl_RawSales[[#This Row],[Order Date]],2)</f>
        <v>6</v>
      </c>
    </row>
    <row r="157" spans="1:14" x14ac:dyDescent="0.25">
      <c r="A157" t="s">
        <v>206</v>
      </c>
      <c r="B157" s="20">
        <v>45563</v>
      </c>
      <c r="C157" t="s">
        <v>32</v>
      </c>
      <c r="D157" t="s">
        <v>29</v>
      </c>
      <c r="E157" t="s">
        <v>22</v>
      </c>
      <c r="F157" t="s">
        <v>23</v>
      </c>
      <c r="G157">
        <v>1</v>
      </c>
      <c r="H157" s="1">
        <v>8.99</v>
      </c>
      <c r="I157" s="1">
        <v>8.99</v>
      </c>
      <c r="J157">
        <v>2</v>
      </c>
      <c r="K157" t="str">
        <f>TEXT(tbl_RawSales[[#This Row],[Order Date]],"mmm")</f>
        <v>Sept</v>
      </c>
      <c r="L157">
        <f>MONTH(tbl_RawSales[[#This Row],[Order Date]])</f>
        <v>9</v>
      </c>
      <c r="M157" t="str">
        <f>TEXT(tbl_RawSales[[#This Row],[Order Date]],"ddd")</f>
        <v>Sat</v>
      </c>
      <c r="N157">
        <f>WEEKDAY(tbl_RawSales[[#This Row],[Order Date]],2)</f>
        <v>6</v>
      </c>
    </row>
    <row r="158" spans="1:14" x14ac:dyDescent="0.25">
      <c r="A158" t="s">
        <v>207</v>
      </c>
      <c r="B158" s="20">
        <v>45934</v>
      </c>
      <c r="C158" t="s">
        <v>16</v>
      </c>
      <c r="D158" t="s">
        <v>29</v>
      </c>
      <c r="E158" t="s">
        <v>74</v>
      </c>
      <c r="F158" t="s">
        <v>14</v>
      </c>
      <c r="G158">
        <v>1</v>
      </c>
      <c r="H158" s="1">
        <v>14.99</v>
      </c>
      <c r="I158" s="1">
        <v>14.99</v>
      </c>
      <c r="J158">
        <v>5</v>
      </c>
      <c r="K158" t="str">
        <f>TEXT(tbl_RawSales[[#This Row],[Order Date]],"mmm")</f>
        <v>Oct</v>
      </c>
      <c r="L158">
        <f>MONTH(tbl_RawSales[[#This Row],[Order Date]])</f>
        <v>10</v>
      </c>
      <c r="M158" t="str">
        <f>TEXT(tbl_RawSales[[#This Row],[Order Date]],"ddd")</f>
        <v>Sat</v>
      </c>
      <c r="N158">
        <f>WEEKDAY(tbl_RawSales[[#This Row],[Order Date]],2)</f>
        <v>6</v>
      </c>
    </row>
    <row r="159" spans="1:14" x14ac:dyDescent="0.25">
      <c r="A159" t="s">
        <v>208</v>
      </c>
      <c r="B159" s="20">
        <v>45720</v>
      </c>
      <c r="C159" t="s">
        <v>16</v>
      </c>
      <c r="D159" t="s">
        <v>29</v>
      </c>
      <c r="E159" t="s">
        <v>30</v>
      </c>
      <c r="F159" t="s">
        <v>19</v>
      </c>
      <c r="G159">
        <v>2</v>
      </c>
      <c r="H159" s="1">
        <v>7.99</v>
      </c>
      <c r="I159" s="1">
        <v>15.98</v>
      </c>
      <c r="J159">
        <v>5</v>
      </c>
      <c r="K159" t="str">
        <f>TEXT(tbl_RawSales[[#This Row],[Order Date]],"mmm")</f>
        <v>Mar</v>
      </c>
      <c r="L159">
        <f>MONTH(tbl_RawSales[[#This Row],[Order Date]])</f>
        <v>3</v>
      </c>
      <c r="M159" t="str">
        <f>TEXT(tbl_RawSales[[#This Row],[Order Date]],"ddd")</f>
        <v>Tue</v>
      </c>
      <c r="N159">
        <f>WEEKDAY(tbl_RawSales[[#This Row],[Order Date]],2)</f>
        <v>2</v>
      </c>
    </row>
    <row r="160" spans="1:14" x14ac:dyDescent="0.25">
      <c r="A160" t="s">
        <v>209</v>
      </c>
      <c r="B160" s="20">
        <v>45385</v>
      </c>
      <c r="C160" t="s">
        <v>11</v>
      </c>
      <c r="D160" t="s">
        <v>17</v>
      </c>
      <c r="E160" t="s">
        <v>13</v>
      </c>
      <c r="F160" t="s">
        <v>14</v>
      </c>
      <c r="G160">
        <v>1</v>
      </c>
      <c r="H160" s="1">
        <v>18.989999999999998</v>
      </c>
      <c r="I160" s="1">
        <v>18.989999999999998</v>
      </c>
      <c r="J160">
        <v>4</v>
      </c>
      <c r="K160" t="str">
        <f>TEXT(tbl_RawSales[[#This Row],[Order Date]],"mmm")</f>
        <v>Apr</v>
      </c>
      <c r="L160">
        <f>MONTH(tbl_RawSales[[#This Row],[Order Date]])</f>
        <v>4</v>
      </c>
      <c r="M160" t="str">
        <f>TEXT(tbl_RawSales[[#This Row],[Order Date]],"ddd")</f>
        <v>Wed</v>
      </c>
      <c r="N160">
        <f>WEEKDAY(tbl_RawSales[[#This Row],[Order Date]],2)</f>
        <v>3</v>
      </c>
    </row>
    <row r="161" spans="1:14" x14ac:dyDescent="0.25">
      <c r="A161" t="s">
        <v>210</v>
      </c>
      <c r="B161" s="20">
        <v>45793</v>
      </c>
      <c r="C161" t="s">
        <v>25</v>
      </c>
      <c r="D161" t="s">
        <v>29</v>
      </c>
      <c r="E161" t="s">
        <v>43</v>
      </c>
      <c r="F161" t="s">
        <v>23</v>
      </c>
      <c r="G161">
        <v>4</v>
      </c>
      <c r="H161" s="1">
        <v>11.99</v>
      </c>
      <c r="I161" s="1">
        <v>47.96</v>
      </c>
      <c r="J161">
        <v>4</v>
      </c>
      <c r="K161" t="str">
        <f>TEXT(tbl_RawSales[[#This Row],[Order Date]],"mmm")</f>
        <v>May</v>
      </c>
      <c r="L161">
        <f>MONTH(tbl_RawSales[[#This Row],[Order Date]])</f>
        <v>5</v>
      </c>
      <c r="M161" t="str">
        <f>TEXT(tbl_RawSales[[#This Row],[Order Date]],"ddd")</f>
        <v>Fri</v>
      </c>
      <c r="N161">
        <f>WEEKDAY(tbl_RawSales[[#This Row],[Order Date]],2)</f>
        <v>5</v>
      </c>
    </row>
    <row r="162" spans="1:14" x14ac:dyDescent="0.25">
      <c r="A162" t="s">
        <v>211</v>
      </c>
      <c r="B162" s="20">
        <v>45351</v>
      </c>
      <c r="C162" t="s">
        <v>45</v>
      </c>
      <c r="D162" t="s">
        <v>12</v>
      </c>
      <c r="E162" t="s">
        <v>52</v>
      </c>
      <c r="F162" t="s">
        <v>19</v>
      </c>
      <c r="G162">
        <v>1</v>
      </c>
      <c r="H162" s="1">
        <v>6.99</v>
      </c>
      <c r="I162" s="1">
        <v>6.99</v>
      </c>
      <c r="J162">
        <v>4</v>
      </c>
      <c r="K162" t="str">
        <f>TEXT(tbl_RawSales[[#This Row],[Order Date]],"mmm")</f>
        <v>Feb</v>
      </c>
      <c r="L162">
        <f>MONTH(tbl_RawSales[[#This Row],[Order Date]])</f>
        <v>2</v>
      </c>
      <c r="M162" t="str">
        <f>TEXT(tbl_RawSales[[#This Row],[Order Date]],"ddd")</f>
        <v>Thu</v>
      </c>
      <c r="N162">
        <f>WEEKDAY(tbl_RawSales[[#This Row],[Order Date]],2)</f>
        <v>4</v>
      </c>
    </row>
    <row r="163" spans="1:14" x14ac:dyDescent="0.25">
      <c r="A163" t="s">
        <v>212</v>
      </c>
      <c r="B163" s="20">
        <v>45887</v>
      </c>
      <c r="C163" t="s">
        <v>25</v>
      </c>
      <c r="D163" t="s">
        <v>12</v>
      </c>
      <c r="E163" t="s">
        <v>39</v>
      </c>
      <c r="F163" t="s">
        <v>14</v>
      </c>
      <c r="G163">
        <v>1</v>
      </c>
      <c r="H163" s="1">
        <v>24.99</v>
      </c>
      <c r="I163" s="1">
        <v>24.99</v>
      </c>
      <c r="J163">
        <v>4</v>
      </c>
      <c r="K163" t="str">
        <f>TEXT(tbl_RawSales[[#This Row],[Order Date]],"mmm")</f>
        <v>Aug</v>
      </c>
      <c r="L163">
        <f>MONTH(tbl_RawSales[[#This Row],[Order Date]])</f>
        <v>8</v>
      </c>
      <c r="M163" t="str">
        <f>TEXT(tbl_RawSales[[#This Row],[Order Date]],"ddd")</f>
        <v>Mon</v>
      </c>
      <c r="N163">
        <f>WEEKDAY(tbl_RawSales[[#This Row],[Order Date]],2)</f>
        <v>1</v>
      </c>
    </row>
    <row r="164" spans="1:14" x14ac:dyDescent="0.25">
      <c r="A164" t="s">
        <v>213</v>
      </c>
      <c r="B164" s="20">
        <v>45443</v>
      </c>
      <c r="C164" t="s">
        <v>16</v>
      </c>
      <c r="D164" t="s">
        <v>17</v>
      </c>
      <c r="E164" t="s">
        <v>55</v>
      </c>
      <c r="F164" t="s">
        <v>23</v>
      </c>
      <c r="G164">
        <v>1</v>
      </c>
      <c r="H164" s="1">
        <v>10.99</v>
      </c>
      <c r="I164" s="1">
        <v>10.99</v>
      </c>
      <c r="J164">
        <v>5</v>
      </c>
      <c r="K164" t="str">
        <f>TEXT(tbl_RawSales[[#This Row],[Order Date]],"mmm")</f>
        <v>May</v>
      </c>
      <c r="L164">
        <f>MONTH(tbl_RawSales[[#This Row],[Order Date]])</f>
        <v>5</v>
      </c>
      <c r="M164" t="str">
        <f>TEXT(tbl_RawSales[[#This Row],[Order Date]],"ddd")</f>
        <v>Fri</v>
      </c>
      <c r="N164">
        <f>WEEKDAY(tbl_RawSales[[#This Row],[Order Date]],2)</f>
        <v>5</v>
      </c>
    </row>
    <row r="165" spans="1:14" x14ac:dyDescent="0.25">
      <c r="A165" t="s">
        <v>214</v>
      </c>
      <c r="B165" s="20">
        <v>45953</v>
      </c>
      <c r="C165" t="s">
        <v>21</v>
      </c>
      <c r="D165" t="s">
        <v>29</v>
      </c>
      <c r="E165" t="s">
        <v>46</v>
      </c>
      <c r="F165" t="s">
        <v>14</v>
      </c>
      <c r="G165">
        <v>2</v>
      </c>
      <c r="H165" s="1">
        <v>32.99</v>
      </c>
      <c r="I165" s="1">
        <v>65.98</v>
      </c>
      <c r="J165">
        <v>4</v>
      </c>
      <c r="K165" t="str">
        <f>TEXT(tbl_RawSales[[#This Row],[Order Date]],"mmm")</f>
        <v>Oct</v>
      </c>
      <c r="L165">
        <f>MONTH(tbl_RawSales[[#This Row],[Order Date]])</f>
        <v>10</v>
      </c>
      <c r="M165" t="str">
        <f>TEXT(tbl_RawSales[[#This Row],[Order Date]],"ddd")</f>
        <v>Thu</v>
      </c>
      <c r="N165">
        <f>WEEKDAY(tbl_RawSales[[#This Row],[Order Date]],2)</f>
        <v>4</v>
      </c>
    </row>
    <row r="166" spans="1:14" x14ac:dyDescent="0.25">
      <c r="A166" t="s">
        <v>215</v>
      </c>
      <c r="B166" s="20">
        <v>45365</v>
      </c>
      <c r="C166" t="s">
        <v>45</v>
      </c>
      <c r="D166" t="s">
        <v>12</v>
      </c>
      <c r="E166" t="s">
        <v>69</v>
      </c>
      <c r="F166" t="s">
        <v>67</v>
      </c>
      <c r="G166">
        <v>1</v>
      </c>
      <c r="H166" s="1">
        <v>8.99</v>
      </c>
      <c r="I166" s="1">
        <v>8.99</v>
      </c>
      <c r="J166">
        <v>4</v>
      </c>
      <c r="K166" t="str">
        <f>TEXT(tbl_RawSales[[#This Row],[Order Date]],"mmm")</f>
        <v>Mar</v>
      </c>
      <c r="L166">
        <f>MONTH(tbl_RawSales[[#This Row],[Order Date]])</f>
        <v>3</v>
      </c>
      <c r="M166" t="str">
        <f>TEXT(tbl_RawSales[[#This Row],[Order Date]],"ddd")</f>
        <v>Thu</v>
      </c>
      <c r="N166">
        <f>WEEKDAY(tbl_RawSales[[#This Row],[Order Date]],2)</f>
        <v>4</v>
      </c>
    </row>
    <row r="167" spans="1:14" x14ac:dyDescent="0.25">
      <c r="A167" t="s">
        <v>216</v>
      </c>
      <c r="B167" s="20">
        <v>45705</v>
      </c>
      <c r="C167" t="s">
        <v>45</v>
      </c>
      <c r="D167" t="s">
        <v>17</v>
      </c>
      <c r="E167" t="s">
        <v>69</v>
      </c>
      <c r="F167" t="s">
        <v>67</v>
      </c>
      <c r="G167">
        <v>4</v>
      </c>
      <c r="H167" s="1">
        <v>8.99</v>
      </c>
      <c r="I167" s="1">
        <v>35.96</v>
      </c>
      <c r="J167">
        <v>5</v>
      </c>
      <c r="K167" t="str">
        <f>TEXT(tbl_RawSales[[#This Row],[Order Date]],"mmm")</f>
        <v>Feb</v>
      </c>
      <c r="L167">
        <f>MONTH(tbl_RawSales[[#This Row],[Order Date]])</f>
        <v>2</v>
      </c>
      <c r="M167" t="str">
        <f>TEXT(tbl_RawSales[[#This Row],[Order Date]],"ddd")</f>
        <v>Mon</v>
      </c>
      <c r="N167">
        <f>WEEKDAY(tbl_RawSales[[#This Row],[Order Date]],2)</f>
        <v>1</v>
      </c>
    </row>
    <row r="168" spans="1:14" x14ac:dyDescent="0.25">
      <c r="A168" t="s">
        <v>217</v>
      </c>
      <c r="B168" s="20">
        <v>45584</v>
      </c>
      <c r="C168" t="s">
        <v>16</v>
      </c>
      <c r="D168" t="s">
        <v>29</v>
      </c>
      <c r="E168" t="s">
        <v>52</v>
      </c>
      <c r="F168" t="s">
        <v>19</v>
      </c>
      <c r="G168">
        <v>2</v>
      </c>
      <c r="H168" s="1">
        <v>6.99</v>
      </c>
      <c r="I168" s="1">
        <v>13.98</v>
      </c>
      <c r="J168">
        <v>4</v>
      </c>
      <c r="K168" t="str">
        <f>TEXT(tbl_RawSales[[#This Row],[Order Date]],"mmm")</f>
        <v>Oct</v>
      </c>
      <c r="L168">
        <f>MONTH(tbl_RawSales[[#This Row],[Order Date]])</f>
        <v>10</v>
      </c>
      <c r="M168" t="str">
        <f>TEXT(tbl_RawSales[[#This Row],[Order Date]],"ddd")</f>
        <v>Sat</v>
      </c>
      <c r="N168">
        <f>WEEKDAY(tbl_RawSales[[#This Row],[Order Date]],2)</f>
        <v>6</v>
      </c>
    </row>
    <row r="169" spans="1:14" x14ac:dyDescent="0.25">
      <c r="A169" t="s">
        <v>218</v>
      </c>
      <c r="B169" s="20">
        <v>45386</v>
      </c>
      <c r="C169" t="s">
        <v>45</v>
      </c>
      <c r="D169" t="s">
        <v>17</v>
      </c>
      <c r="E169" t="s">
        <v>13</v>
      </c>
      <c r="F169" t="s">
        <v>14</v>
      </c>
      <c r="G169">
        <v>2</v>
      </c>
      <c r="H169" s="1">
        <v>18.989999999999998</v>
      </c>
      <c r="I169" s="1">
        <v>37.979999999999997</v>
      </c>
      <c r="J169">
        <v>4</v>
      </c>
      <c r="K169" t="str">
        <f>TEXT(tbl_RawSales[[#This Row],[Order Date]],"mmm")</f>
        <v>Apr</v>
      </c>
      <c r="L169">
        <f>MONTH(tbl_RawSales[[#This Row],[Order Date]])</f>
        <v>4</v>
      </c>
      <c r="M169" t="str">
        <f>TEXT(tbl_RawSales[[#This Row],[Order Date]],"ddd")</f>
        <v>Thu</v>
      </c>
      <c r="N169">
        <f>WEEKDAY(tbl_RawSales[[#This Row],[Order Date]],2)</f>
        <v>4</v>
      </c>
    </row>
    <row r="170" spans="1:14" x14ac:dyDescent="0.25">
      <c r="A170" t="s">
        <v>219</v>
      </c>
      <c r="B170" s="20">
        <v>45554</v>
      </c>
      <c r="C170" t="s">
        <v>32</v>
      </c>
      <c r="D170" t="s">
        <v>17</v>
      </c>
      <c r="E170" t="s">
        <v>50</v>
      </c>
      <c r="F170" t="s">
        <v>14</v>
      </c>
      <c r="G170">
        <v>1</v>
      </c>
      <c r="H170" s="1">
        <v>22.99</v>
      </c>
      <c r="I170" s="1">
        <v>22.99</v>
      </c>
      <c r="J170">
        <v>4</v>
      </c>
      <c r="K170" t="str">
        <f>TEXT(tbl_RawSales[[#This Row],[Order Date]],"mmm")</f>
        <v>Sept</v>
      </c>
      <c r="L170">
        <f>MONTH(tbl_RawSales[[#This Row],[Order Date]])</f>
        <v>9</v>
      </c>
      <c r="M170" t="str">
        <f>TEXT(tbl_RawSales[[#This Row],[Order Date]],"ddd")</f>
        <v>Thu</v>
      </c>
      <c r="N170">
        <f>WEEKDAY(tbl_RawSales[[#This Row],[Order Date]],2)</f>
        <v>4</v>
      </c>
    </row>
    <row r="171" spans="1:14" x14ac:dyDescent="0.25">
      <c r="A171" t="s">
        <v>220</v>
      </c>
      <c r="B171" s="20">
        <v>45865</v>
      </c>
      <c r="C171" t="s">
        <v>25</v>
      </c>
      <c r="D171" t="s">
        <v>29</v>
      </c>
      <c r="E171" t="s">
        <v>221</v>
      </c>
      <c r="F171" t="s">
        <v>67</v>
      </c>
      <c r="G171">
        <v>2</v>
      </c>
      <c r="H171" s="1">
        <v>9.99</v>
      </c>
      <c r="I171" s="1">
        <v>19.98</v>
      </c>
      <c r="J171">
        <v>5</v>
      </c>
      <c r="K171" t="str">
        <f>TEXT(tbl_RawSales[[#This Row],[Order Date]],"mmm")</f>
        <v>Jul</v>
      </c>
      <c r="L171">
        <f>MONTH(tbl_RawSales[[#This Row],[Order Date]])</f>
        <v>7</v>
      </c>
      <c r="M171" t="str">
        <f>TEXT(tbl_RawSales[[#This Row],[Order Date]],"ddd")</f>
        <v>Sun</v>
      </c>
      <c r="N171">
        <f>WEEKDAY(tbl_RawSales[[#This Row],[Order Date]],2)</f>
        <v>7</v>
      </c>
    </row>
    <row r="172" spans="1:14" x14ac:dyDescent="0.25">
      <c r="A172" t="s">
        <v>222</v>
      </c>
      <c r="B172" s="20">
        <v>45438</v>
      </c>
      <c r="C172" t="s">
        <v>97</v>
      </c>
      <c r="D172" t="s">
        <v>29</v>
      </c>
      <c r="E172" t="s">
        <v>30</v>
      </c>
      <c r="F172" t="s">
        <v>19</v>
      </c>
      <c r="G172">
        <v>1</v>
      </c>
      <c r="H172" s="1">
        <v>7.99</v>
      </c>
      <c r="I172" s="1">
        <v>7.99</v>
      </c>
      <c r="J172">
        <v>5</v>
      </c>
      <c r="K172" t="str">
        <f>TEXT(tbl_RawSales[[#This Row],[Order Date]],"mmm")</f>
        <v>May</v>
      </c>
      <c r="L172">
        <f>MONTH(tbl_RawSales[[#This Row],[Order Date]])</f>
        <v>5</v>
      </c>
      <c r="M172" t="str">
        <f>TEXT(tbl_RawSales[[#This Row],[Order Date]],"ddd")</f>
        <v>Sun</v>
      </c>
      <c r="N172">
        <f>WEEKDAY(tbl_RawSales[[#This Row],[Order Date]],2)</f>
        <v>7</v>
      </c>
    </row>
    <row r="173" spans="1:14" x14ac:dyDescent="0.25">
      <c r="A173" t="s">
        <v>223</v>
      </c>
      <c r="B173" s="20">
        <v>45578</v>
      </c>
      <c r="C173" t="s">
        <v>11</v>
      </c>
      <c r="D173" t="s">
        <v>29</v>
      </c>
      <c r="E173" t="s">
        <v>112</v>
      </c>
      <c r="F173" t="s">
        <v>19</v>
      </c>
      <c r="G173">
        <v>2</v>
      </c>
      <c r="H173" s="1">
        <v>5.99</v>
      </c>
      <c r="I173" s="1">
        <v>11.98</v>
      </c>
      <c r="J173">
        <v>5</v>
      </c>
      <c r="K173" t="str">
        <f>TEXT(tbl_RawSales[[#This Row],[Order Date]],"mmm")</f>
        <v>Oct</v>
      </c>
      <c r="L173">
        <f>MONTH(tbl_RawSales[[#This Row],[Order Date]])</f>
        <v>10</v>
      </c>
      <c r="M173" t="str">
        <f>TEXT(tbl_RawSales[[#This Row],[Order Date]],"ddd")</f>
        <v>Sun</v>
      </c>
      <c r="N173">
        <f>WEEKDAY(tbl_RawSales[[#This Row],[Order Date]],2)</f>
        <v>7</v>
      </c>
    </row>
    <row r="174" spans="1:14" x14ac:dyDescent="0.25">
      <c r="A174" t="s">
        <v>224</v>
      </c>
      <c r="B174" s="20">
        <v>45389</v>
      </c>
      <c r="C174" t="s">
        <v>25</v>
      </c>
      <c r="D174" t="s">
        <v>29</v>
      </c>
      <c r="E174" t="s">
        <v>55</v>
      </c>
      <c r="F174" t="s">
        <v>23</v>
      </c>
      <c r="G174">
        <v>4</v>
      </c>
      <c r="H174" s="1">
        <v>10.99</v>
      </c>
      <c r="I174" s="1">
        <v>43.96</v>
      </c>
      <c r="J174">
        <v>3</v>
      </c>
      <c r="K174" t="str">
        <f>TEXT(tbl_RawSales[[#This Row],[Order Date]],"mmm")</f>
        <v>Apr</v>
      </c>
      <c r="L174">
        <f>MONTH(tbl_RawSales[[#This Row],[Order Date]])</f>
        <v>4</v>
      </c>
      <c r="M174" t="str">
        <f>TEXT(tbl_RawSales[[#This Row],[Order Date]],"ddd")</f>
        <v>Sun</v>
      </c>
      <c r="N174">
        <f>WEEKDAY(tbl_RawSales[[#This Row],[Order Date]],2)</f>
        <v>7</v>
      </c>
    </row>
    <row r="175" spans="1:14" x14ac:dyDescent="0.25">
      <c r="A175" t="s">
        <v>225</v>
      </c>
      <c r="B175" s="20">
        <v>45660</v>
      </c>
      <c r="C175" t="s">
        <v>38</v>
      </c>
      <c r="D175" t="s">
        <v>12</v>
      </c>
      <c r="E175" t="s">
        <v>36</v>
      </c>
      <c r="F175" t="s">
        <v>14</v>
      </c>
      <c r="G175">
        <v>1</v>
      </c>
      <c r="H175" s="1">
        <v>16.989999999999998</v>
      </c>
      <c r="I175" s="1">
        <v>16.989999999999998</v>
      </c>
      <c r="J175">
        <v>5</v>
      </c>
      <c r="K175" t="str">
        <f>TEXT(tbl_RawSales[[#This Row],[Order Date]],"mmm")</f>
        <v>Jan</v>
      </c>
      <c r="L175">
        <f>MONTH(tbl_RawSales[[#This Row],[Order Date]])</f>
        <v>1</v>
      </c>
      <c r="M175" t="str">
        <f>TEXT(tbl_RawSales[[#This Row],[Order Date]],"ddd")</f>
        <v>Fri</v>
      </c>
      <c r="N175">
        <f>WEEKDAY(tbl_RawSales[[#This Row],[Order Date]],2)</f>
        <v>5</v>
      </c>
    </row>
    <row r="176" spans="1:14" x14ac:dyDescent="0.25">
      <c r="A176" t="s">
        <v>226</v>
      </c>
      <c r="B176" s="20">
        <v>45479</v>
      </c>
      <c r="C176" t="s">
        <v>45</v>
      </c>
      <c r="D176" t="s">
        <v>12</v>
      </c>
      <c r="E176" t="s">
        <v>13</v>
      </c>
      <c r="F176" t="s">
        <v>14</v>
      </c>
      <c r="G176">
        <v>3</v>
      </c>
      <c r="H176" s="1">
        <v>18.989999999999998</v>
      </c>
      <c r="I176" s="1">
        <v>56.97</v>
      </c>
      <c r="J176">
        <v>5</v>
      </c>
      <c r="K176" t="str">
        <f>TEXT(tbl_RawSales[[#This Row],[Order Date]],"mmm")</f>
        <v>Jul</v>
      </c>
      <c r="L176">
        <f>MONTH(tbl_RawSales[[#This Row],[Order Date]])</f>
        <v>7</v>
      </c>
      <c r="M176" t="str">
        <f>TEXT(tbl_RawSales[[#This Row],[Order Date]],"ddd")</f>
        <v>Sat</v>
      </c>
      <c r="N176">
        <f>WEEKDAY(tbl_RawSales[[#This Row],[Order Date]],2)</f>
        <v>6</v>
      </c>
    </row>
    <row r="177" spans="1:14" x14ac:dyDescent="0.25">
      <c r="A177" t="s">
        <v>227</v>
      </c>
      <c r="B177" s="20">
        <v>45359</v>
      </c>
      <c r="C177" t="s">
        <v>28</v>
      </c>
      <c r="D177" t="s">
        <v>12</v>
      </c>
      <c r="E177" t="s">
        <v>50</v>
      </c>
      <c r="F177" t="s">
        <v>14</v>
      </c>
      <c r="G177">
        <v>2</v>
      </c>
      <c r="H177" s="1">
        <v>22.99</v>
      </c>
      <c r="I177" s="1">
        <v>45.98</v>
      </c>
      <c r="J177">
        <v>4</v>
      </c>
      <c r="K177" t="str">
        <f>TEXT(tbl_RawSales[[#This Row],[Order Date]],"mmm")</f>
        <v>Mar</v>
      </c>
      <c r="L177">
        <f>MONTH(tbl_RawSales[[#This Row],[Order Date]])</f>
        <v>3</v>
      </c>
      <c r="M177" t="str">
        <f>TEXT(tbl_RawSales[[#This Row],[Order Date]],"ddd")</f>
        <v>Fri</v>
      </c>
      <c r="N177">
        <f>WEEKDAY(tbl_RawSales[[#This Row],[Order Date]],2)</f>
        <v>5</v>
      </c>
    </row>
    <row r="178" spans="1:14" x14ac:dyDescent="0.25">
      <c r="A178" t="s">
        <v>228</v>
      </c>
      <c r="B178" s="20">
        <v>45681</v>
      </c>
      <c r="C178" t="s">
        <v>28</v>
      </c>
      <c r="D178" t="s">
        <v>29</v>
      </c>
      <c r="E178" t="s">
        <v>66</v>
      </c>
      <c r="F178" t="s">
        <v>67</v>
      </c>
      <c r="G178">
        <v>2</v>
      </c>
      <c r="H178" s="1">
        <v>7.99</v>
      </c>
      <c r="I178" s="1">
        <v>15.98</v>
      </c>
      <c r="J178">
        <v>4</v>
      </c>
      <c r="K178" t="str">
        <f>TEXT(tbl_RawSales[[#This Row],[Order Date]],"mmm")</f>
        <v>Jan</v>
      </c>
      <c r="L178">
        <f>MONTH(tbl_RawSales[[#This Row],[Order Date]])</f>
        <v>1</v>
      </c>
      <c r="M178" t="str">
        <f>TEXT(tbl_RawSales[[#This Row],[Order Date]],"ddd")</f>
        <v>Fri</v>
      </c>
      <c r="N178">
        <f>WEEKDAY(tbl_RawSales[[#This Row],[Order Date]],2)</f>
        <v>5</v>
      </c>
    </row>
    <row r="179" spans="1:14" x14ac:dyDescent="0.25">
      <c r="A179" t="s">
        <v>229</v>
      </c>
      <c r="B179" s="20">
        <v>45625</v>
      </c>
      <c r="C179" t="s">
        <v>11</v>
      </c>
      <c r="D179" t="s">
        <v>29</v>
      </c>
      <c r="E179" t="s">
        <v>52</v>
      </c>
      <c r="F179" t="s">
        <v>19</v>
      </c>
      <c r="G179">
        <v>1</v>
      </c>
      <c r="H179" s="1">
        <v>6.99</v>
      </c>
      <c r="I179" s="1">
        <v>6.99</v>
      </c>
      <c r="J179">
        <v>5</v>
      </c>
      <c r="K179" t="str">
        <f>TEXT(tbl_RawSales[[#This Row],[Order Date]],"mmm")</f>
        <v>Nov</v>
      </c>
      <c r="L179">
        <f>MONTH(tbl_RawSales[[#This Row],[Order Date]])</f>
        <v>11</v>
      </c>
      <c r="M179" t="str">
        <f>TEXT(tbl_RawSales[[#This Row],[Order Date]],"ddd")</f>
        <v>Fri</v>
      </c>
      <c r="N179">
        <f>WEEKDAY(tbl_RawSales[[#This Row],[Order Date]],2)</f>
        <v>5</v>
      </c>
    </row>
    <row r="180" spans="1:14" x14ac:dyDescent="0.25">
      <c r="A180" t="s">
        <v>230</v>
      </c>
      <c r="B180" s="20">
        <v>45766</v>
      </c>
      <c r="C180" t="s">
        <v>38</v>
      </c>
      <c r="D180" t="s">
        <v>29</v>
      </c>
      <c r="E180" t="s">
        <v>36</v>
      </c>
      <c r="F180" t="s">
        <v>14</v>
      </c>
      <c r="G180">
        <v>1</v>
      </c>
      <c r="H180" s="1">
        <v>16.989999999999998</v>
      </c>
      <c r="I180" s="1">
        <v>16.989999999999998</v>
      </c>
      <c r="J180">
        <v>3</v>
      </c>
      <c r="K180" t="str">
        <f>TEXT(tbl_RawSales[[#This Row],[Order Date]],"mmm")</f>
        <v>Apr</v>
      </c>
      <c r="L180">
        <f>MONTH(tbl_RawSales[[#This Row],[Order Date]])</f>
        <v>4</v>
      </c>
      <c r="M180" t="str">
        <f>TEXT(tbl_RawSales[[#This Row],[Order Date]],"ddd")</f>
        <v>Sat</v>
      </c>
      <c r="N180">
        <f>WEEKDAY(tbl_RawSales[[#This Row],[Order Date]],2)</f>
        <v>6</v>
      </c>
    </row>
    <row r="181" spans="1:14" x14ac:dyDescent="0.25">
      <c r="A181" t="s">
        <v>231</v>
      </c>
      <c r="B181" s="20">
        <v>45827</v>
      </c>
      <c r="C181" t="s">
        <v>45</v>
      </c>
      <c r="D181" t="s">
        <v>29</v>
      </c>
      <c r="E181" t="s">
        <v>39</v>
      </c>
      <c r="F181" t="s">
        <v>14</v>
      </c>
      <c r="G181">
        <v>1</v>
      </c>
      <c r="H181" s="1">
        <v>24.99</v>
      </c>
      <c r="I181" s="1">
        <v>24.99</v>
      </c>
      <c r="J181">
        <v>4</v>
      </c>
      <c r="K181" t="str">
        <f>TEXT(tbl_RawSales[[#This Row],[Order Date]],"mmm")</f>
        <v>Jun</v>
      </c>
      <c r="L181">
        <f>MONTH(tbl_RawSales[[#This Row],[Order Date]])</f>
        <v>6</v>
      </c>
      <c r="M181" t="str">
        <f>TEXT(tbl_RawSales[[#This Row],[Order Date]],"ddd")</f>
        <v>Thu</v>
      </c>
      <c r="N181">
        <f>WEEKDAY(tbl_RawSales[[#This Row],[Order Date]],2)</f>
        <v>4</v>
      </c>
    </row>
    <row r="182" spans="1:14" x14ac:dyDescent="0.25">
      <c r="A182" t="s">
        <v>232</v>
      </c>
      <c r="B182" s="20">
        <v>45668</v>
      </c>
      <c r="C182" t="s">
        <v>28</v>
      </c>
      <c r="D182" t="s">
        <v>17</v>
      </c>
      <c r="E182" t="s">
        <v>79</v>
      </c>
      <c r="F182" t="s">
        <v>67</v>
      </c>
      <c r="G182">
        <v>2</v>
      </c>
      <c r="H182" s="1">
        <v>10.99</v>
      </c>
      <c r="I182" s="1">
        <v>21.98</v>
      </c>
      <c r="J182">
        <v>5</v>
      </c>
      <c r="K182" t="str">
        <f>TEXT(tbl_RawSales[[#This Row],[Order Date]],"mmm")</f>
        <v>Jan</v>
      </c>
      <c r="L182">
        <f>MONTH(tbl_RawSales[[#This Row],[Order Date]])</f>
        <v>1</v>
      </c>
      <c r="M182" t="str">
        <f>TEXT(tbl_RawSales[[#This Row],[Order Date]],"ddd")</f>
        <v>Sat</v>
      </c>
      <c r="N182">
        <f>WEEKDAY(tbl_RawSales[[#This Row],[Order Date]],2)</f>
        <v>6</v>
      </c>
    </row>
    <row r="183" spans="1:14" x14ac:dyDescent="0.25">
      <c r="A183" t="s">
        <v>233</v>
      </c>
      <c r="B183" s="20">
        <v>45606</v>
      </c>
      <c r="C183" t="s">
        <v>38</v>
      </c>
      <c r="D183" t="s">
        <v>17</v>
      </c>
      <c r="E183" t="s">
        <v>119</v>
      </c>
      <c r="F183" t="s">
        <v>19</v>
      </c>
      <c r="G183">
        <v>3</v>
      </c>
      <c r="H183" s="1">
        <v>4.99</v>
      </c>
      <c r="I183" s="1">
        <v>14.97</v>
      </c>
      <c r="J183">
        <v>3</v>
      </c>
      <c r="K183" t="str">
        <f>TEXT(tbl_RawSales[[#This Row],[Order Date]],"mmm")</f>
        <v>Nov</v>
      </c>
      <c r="L183">
        <f>MONTH(tbl_RawSales[[#This Row],[Order Date]])</f>
        <v>11</v>
      </c>
      <c r="M183" t="str">
        <f>TEXT(tbl_RawSales[[#This Row],[Order Date]],"ddd")</f>
        <v>Sun</v>
      </c>
      <c r="N183">
        <f>WEEKDAY(tbl_RawSales[[#This Row],[Order Date]],2)</f>
        <v>7</v>
      </c>
    </row>
    <row r="184" spans="1:14" x14ac:dyDescent="0.25">
      <c r="A184" t="s">
        <v>234</v>
      </c>
      <c r="B184" s="20">
        <v>45738</v>
      </c>
      <c r="C184" t="s">
        <v>28</v>
      </c>
      <c r="D184" t="s">
        <v>12</v>
      </c>
      <c r="E184" t="s">
        <v>55</v>
      </c>
      <c r="F184" t="s">
        <v>23</v>
      </c>
      <c r="G184">
        <v>1</v>
      </c>
      <c r="H184" s="1">
        <v>10.99</v>
      </c>
      <c r="I184" s="1">
        <v>10.99</v>
      </c>
      <c r="J184">
        <v>4</v>
      </c>
      <c r="K184" t="str">
        <f>TEXT(tbl_RawSales[[#This Row],[Order Date]],"mmm")</f>
        <v>Mar</v>
      </c>
      <c r="L184">
        <f>MONTH(tbl_RawSales[[#This Row],[Order Date]])</f>
        <v>3</v>
      </c>
      <c r="M184" t="str">
        <f>TEXT(tbl_RawSales[[#This Row],[Order Date]],"ddd")</f>
        <v>Sat</v>
      </c>
      <c r="N184">
        <f>WEEKDAY(tbl_RawSales[[#This Row],[Order Date]],2)</f>
        <v>6</v>
      </c>
    </row>
    <row r="185" spans="1:14" x14ac:dyDescent="0.25">
      <c r="A185" t="s">
        <v>235</v>
      </c>
      <c r="B185" s="20">
        <v>45675</v>
      </c>
      <c r="C185" t="s">
        <v>34</v>
      </c>
      <c r="D185" t="s">
        <v>17</v>
      </c>
      <c r="E185" t="s">
        <v>112</v>
      </c>
      <c r="F185" t="s">
        <v>19</v>
      </c>
      <c r="G185">
        <v>1</v>
      </c>
      <c r="H185" s="1">
        <v>5.99</v>
      </c>
      <c r="I185" s="1">
        <v>5.99</v>
      </c>
      <c r="J185">
        <v>4</v>
      </c>
      <c r="K185" t="str">
        <f>TEXT(tbl_RawSales[[#This Row],[Order Date]],"mmm")</f>
        <v>Jan</v>
      </c>
      <c r="L185">
        <f>MONTH(tbl_RawSales[[#This Row],[Order Date]])</f>
        <v>1</v>
      </c>
      <c r="M185" t="str">
        <f>TEXT(tbl_RawSales[[#This Row],[Order Date]],"ddd")</f>
        <v>Sat</v>
      </c>
      <c r="N185">
        <f>WEEKDAY(tbl_RawSales[[#This Row],[Order Date]],2)</f>
        <v>6</v>
      </c>
    </row>
    <row r="186" spans="1:14" x14ac:dyDescent="0.25">
      <c r="A186" t="s">
        <v>236</v>
      </c>
      <c r="B186" s="20">
        <v>45368</v>
      </c>
      <c r="C186" t="s">
        <v>28</v>
      </c>
      <c r="D186" t="s">
        <v>12</v>
      </c>
      <c r="E186" t="s">
        <v>50</v>
      </c>
      <c r="F186" t="s">
        <v>14</v>
      </c>
      <c r="G186">
        <v>1</v>
      </c>
      <c r="H186" s="1">
        <v>22.99</v>
      </c>
      <c r="I186" s="1">
        <v>22.99</v>
      </c>
      <c r="J186">
        <v>5</v>
      </c>
      <c r="K186" t="str">
        <f>TEXT(tbl_RawSales[[#This Row],[Order Date]],"mmm")</f>
        <v>Mar</v>
      </c>
      <c r="L186">
        <f>MONTH(tbl_RawSales[[#This Row],[Order Date]])</f>
        <v>3</v>
      </c>
      <c r="M186" t="str">
        <f>TEXT(tbl_RawSales[[#This Row],[Order Date]],"ddd")</f>
        <v>Sun</v>
      </c>
      <c r="N186">
        <f>WEEKDAY(tbl_RawSales[[#This Row],[Order Date]],2)</f>
        <v>7</v>
      </c>
    </row>
    <row r="187" spans="1:14" x14ac:dyDescent="0.25">
      <c r="A187" t="s">
        <v>237</v>
      </c>
      <c r="B187" s="20">
        <v>45846</v>
      </c>
      <c r="C187" t="s">
        <v>45</v>
      </c>
      <c r="D187" t="s">
        <v>17</v>
      </c>
      <c r="E187" t="s">
        <v>83</v>
      </c>
      <c r="F187" t="s">
        <v>14</v>
      </c>
      <c r="G187">
        <v>2</v>
      </c>
      <c r="H187" s="1">
        <v>17.989999999999998</v>
      </c>
      <c r="I187" s="1">
        <v>35.979999999999997</v>
      </c>
      <c r="J187">
        <v>4</v>
      </c>
      <c r="K187" t="str">
        <f>TEXT(tbl_RawSales[[#This Row],[Order Date]],"mmm")</f>
        <v>Jul</v>
      </c>
      <c r="L187">
        <f>MONTH(tbl_RawSales[[#This Row],[Order Date]])</f>
        <v>7</v>
      </c>
      <c r="M187" t="str">
        <f>TEXT(tbl_RawSales[[#This Row],[Order Date]],"ddd")</f>
        <v>Tue</v>
      </c>
      <c r="N187">
        <f>WEEKDAY(tbl_RawSales[[#This Row],[Order Date]],2)</f>
        <v>2</v>
      </c>
    </row>
    <row r="188" spans="1:14" x14ac:dyDescent="0.25">
      <c r="A188" t="s">
        <v>238</v>
      </c>
      <c r="B188" s="20">
        <v>45905</v>
      </c>
      <c r="C188" t="s">
        <v>34</v>
      </c>
      <c r="D188" t="s">
        <v>12</v>
      </c>
      <c r="E188" t="s">
        <v>69</v>
      </c>
      <c r="F188" t="s">
        <v>67</v>
      </c>
      <c r="G188">
        <v>4</v>
      </c>
      <c r="H188" s="1">
        <v>8.99</v>
      </c>
      <c r="I188" s="1">
        <v>35.96</v>
      </c>
      <c r="J188">
        <v>3</v>
      </c>
      <c r="K188" t="str">
        <f>TEXT(tbl_RawSales[[#This Row],[Order Date]],"mmm")</f>
        <v>Sept</v>
      </c>
      <c r="L188">
        <f>MONTH(tbl_RawSales[[#This Row],[Order Date]])</f>
        <v>9</v>
      </c>
      <c r="M188" t="str">
        <f>TEXT(tbl_RawSales[[#This Row],[Order Date]],"ddd")</f>
        <v>Fri</v>
      </c>
      <c r="N188">
        <f>WEEKDAY(tbl_RawSales[[#This Row],[Order Date]],2)</f>
        <v>5</v>
      </c>
    </row>
    <row r="189" spans="1:14" x14ac:dyDescent="0.25">
      <c r="A189" t="s">
        <v>239</v>
      </c>
      <c r="B189" s="20">
        <v>45507</v>
      </c>
      <c r="C189" t="s">
        <v>11</v>
      </c>
      <c r="D189" t="s">
        <v>29</v>
      </c>
      <c r="E189" t="s">
        <v>36</v>
      </c>
      <c r="F189" t="s">
        <v>14</v>
      </c>
      <c r="G189">
        <v>1</v>
      </c>
      <c r="H189" s="1">
        <v>16.989999999999998</v>
      </c>
      <c r="I189" s="1">
        <v>16.989999999999998</v>
      </c>
      <c r="J189">
        <v>4</v>
      </c>
      <c r="K189" t="str">
        <f>TEXT(tbl_RawSales[[#This Row],[Order Date]],"mmm")</f>
        <v>Aug</v>
      </c>
      <c r="L189">
        <f>MONTH(tbl_RawSales[[#This Row],[Order Date]])</f>
        <v>8</v>
      </c>
      <c r="M189" t="str">
        <f>TEXT(tbl_RawSales[[#This Row],[Order Date]],"ddd")</f>
        <v>Sat</v>
      </c>
      <c r="N189">
        <f>WEEKDAY(tbl_RawSales[[#This Row],[Order Date]],2)</f>
        <v>6</v>
      </c>
    </row>
    <row r="190" spans="1:14" x14ac:dyDescent="0.25">
      <c r="A190" t="s">
        <v>240</v>
      </c>
      <c r="B190" s="20">
        <v>45538</v>
      </c>
      <c r="C190" t="s">
        <v>32</v>
      </c>
      <c r="D190" t="s">
        <v>29</v>
      </c>
      <c r="E190" t="s">
        <v>36</v>
      </c>
      <c r="F190" t="s">
        <v>14</v>
      </c>
      <c r="G190">
        <v>1</v>
      </c>
      <c r="H190" s="1">
        <v>16.989999999999998</v>
      </c>
      <c r="I190" s="1">
        <v>16.989999999999998</v>
      </c>
      <c r="J190">
        <v>4</v>
      </c>
      <c r="K190" t="str">
        <f>TEXT(tbl_RawSales[[#This Row],[Order Date]],"mmm")</f>
        <v>Sept</v>
      </c>
      <c r="L190">
        <f>MONTH(tbl_RawSales[[#This Row],[Order Date]])</f>
        <v>9</v>
      </c>
      <c r="M190" t="str">
        <f>TEXT(tbl_RawSales[[#This Row],[Order Date]],"ddd")</f>
        <v>Tue</v>
      </c>
      <c r="N190">
        <f>WEEKDAY(tbl_RawSales[[#This Row],[Order Date]],2)</f>
        <v>2</v>
      </c>
    </row>
    <row r="191" spans="1:14" x14ac:dyDescent="0.25">
      <c r="A191" t="s">
        <v>241</v>
      </c>
      <c r="B191" s="20">
        <v>45970</v>
      </c>
      <c r="C191" t="s">
        <v>25</v>
      </c>
      <c r="D191" t="s">
        <v>12</v>
      </c>
      <c r="E191" t="s">
        <v>30</v>
      </c>
      <c r="F191" t="s">
        <v>19</v>
      </c>
      <c r="G191">
        <v>1</v>
      </c>
      <c r="H191" s="1">
        <v>7.99</v>
      </c>
      <c r="I191" s="1">
        <v>7.99</v>
      </c>
      <c r="J191">
        <v>4</v>
      </c>
      <c r="K191" t="str">
        <f>TEXT(tbl_RawSales[[#This Row],[Order Date]],"mmm")</f>
        <v>Nov</v>
      </c>
      <c r="L191">
        <f>MONTH(tbl_RawSales[[#This Row],[Order Date]])</f>
        <v>11</v>
      </c>
      <c r="M191" t="str">
        <f>TEXT(tbl_RawSales[[#This Row],[Order Date]],"ddd")</f>
        <v>Sun</v>
      </c>
      <c r="N191">
        <f>WEEKDAY(tbl_RawSales[[#This Row],[Order Date]],2)</f>
        <v>7</v>
      </c>
    </row>
    <row r="192" spans="1:14" x14ac:dyDescent="0.25">
      <c r="A192" t="s">
        <v>242</v>
      </c>
      <c r="B192" s="20">
        <v>45418</v>
      </c>
      <c r="C192" t="s">
        <v>97</v>
      </c>
      <c r="D192" t="s">
        <v>29</v>
      </c>
      <c r="E192" t="s">
        <v>36</v>
      </c>
      <c r="F192" t="s">
        <v>14</v>
      </c>
      <c r="G192">
        <v>1</v>
      </c>
      <c r="H192" s="1">
        <v>16.989999999999998</v>
      </c>
      <c r="I192" s="1">
        <v>16.989999999999998</v>
      </c>
      <c r="J192">
        <v>4</v>
      </c>
      <c r="K192" t="str">
        <f>TEXT(tbl_RawSales[[#This Row],[Order Date]],"mmm")</f>
        <v>May</v>
      </c>
      <c r="L192">
        <f>MONTH(tbl_RawSales[[#This Row],[Order Date]])</f>
        <v>5</v>
      </c>
      <c r="M192" t="str">
        <f>TEXT(tbl_RawSales[[#This Row],[Order Date]],"ddd")</f>
        <v>Mon</v>
      </c>
      <c r="N192">
        <f>WEEKDAY(tbl_RawSales[[#This Row],[Order Date]],2)</f>
        <v>1</v>
      </c>
    </row>
    <row r="193" spans="1:14" x14ac:dyDescent="0.25">
      <c r="A193" t="s">
        <v>243</v>
      </c>
      <c r="B193" s="20">
        <v>45921</v>
      </c>
      <c r="C193" t="s">
        <v>16</v>
      </c>
      <c r="D193" t="s">
        <v>29</v>
      </c>
      <c r="E193" t="s">
        <v>36</v>
      </c>
      <c r="F193" t="s">
        <v>14</v>
      </c>
      <c r="G193">
        <v>3</v>
      </c>
      <c r="H193" s="1">
        <v>16.989999999999998</v>
      </c>
      <c r="I193" s="1">
        <v>50.97</v>
      </c>
      <c r="J193">
        <v>3</v>
      </c>
      <c r="K193" t="str">
        <f>TEXT(tbl_RawSales[[#This Row],[Order Date]],"mmm")</f>
        <v>Sept</v>
      </c>
      <c r="L193">
        <f>MONTH(tbl_RawSales[[#This Row],[Order Date]])</f>
        <v>9</v>
      </c>
      <c r="M193" t="str">
        <f>TEXT(tbl_RawSales[[#This Row],[Order Date]],"ddd")</f>
        <v>Sun</v>
      </c>
      <c r="N193">
        <f>WEEKDAY(tbl_RawSales[[#This Row],[Order Date]],2)</f>
        <v>7</v>
      </c>
    </row>
    <row r="194" spans="1:14" x14ac:dyDescent="0.25">
      <c r="A194" t="s">
        <v>244</v>
      </c>
      <c r="B194" s="20">
        <v>45471</v>
      </c>
      <c r="C194" t="s">
        <v>25</v>
      </c>
      <c r="D194" t="s">
        <v>29</v>
      </c>
      <c r="E194" t="s">
        <v>142</v>
      </c>
      <c r="F194" t="s">
        <v>23</v>
      </c>
      <c r="G194">
        <v>1</v>
      </c>
      <c r="H194" s="1">
        <v>14.99</v>
      </c>
      <c r="I194" s="1">
        <v>14.99</v>
      </c>
      <c r="J194">
        <v>5</v>
      </c>
      <c r="K194" t="str">
        <f>TEXT(tbl_RawSales[[#This Row],[Order Date]],"mmm")</f>
        <v>Jun</v>
      </c>
      <c r="L194">
        <f>MONTH(tbl_RawSales[[#This Row],[Order Date]])</f>
        <v>6</v>
      </c>
      <c r="M194" t="str">
        <f>TEXT(tbl_RawSales[[#This Row],[Order Date]],"ddd")</f>
        <v>Fri</v>
      </c>
      <c r="N194">
        <f>WEEKDAY(tbl_RawSales[[#This Row],[Order Date]],2)</f>
        <v>5</v>
      </c>
    </row>
    <row r="195" spans="1:14" x14ac:dyDescent="0.25">
      <c r="A195" t="s">
        <v>245</v>
      </c>
      <c r="B195" s="20">
        <v>45572</v>
      </c>
      <c r="C195" t="s">
        <v>34</v>
      </c>
      <c r="D195" t="s">
        <v>29</v>
      </c>
      <c r="E195" t="s">
        <v>119</v>
      </c>
      <c r="F195" t="s">
        <v>19</v>
      </c>
      <c r="G195">
        <v>1</v>
      </c>
      <c r="H195" s="1">
        <v>4.99</v>
      </c>
      <c r="I195" s="1">
        <v>4.99</v>
      </c>
      <c r="J195">
        <v>3</v>
      </c>
      <c r="K195" t="str">
        <f>TEXT(tbl_RawSales[[#This Row],[Order Date]],"mmm")</f>
        <v>Oct</v>
      </c>
      <c r="L195">
        <f>MONTH(tbl_RawSales[[#This Row],[Order Date]])</f>
        <v>10</v>
      </c>
      <c r="M195" t="str">
        <f>TEXT(tbl_RawSales[[#This Row],[Order Date]],"ddd")</f>
        <v>Mon</v>
      </c>
      <c r="N195">
        <f>WEEKDAY(tbl_RawSales[[#This Row],[Order Date]],2)</f>
        <v>1</v>
      </c>
    </row>
    <row r="196" spans="1:14" x14ac:dyDescent="0.25">
      <c r="A196" t="s">
        <v>246</v>
      </c>
      <c r="B196" s="20">
        <v>45979</v>
      </c>
      <c r="C196" t="s">
        <v>25</v>
      </c>
      <c r="D196" t="s">
        <v>17</v>
      </c>
      <c r="E196" t="s">
        <v>13</v>
      </c>
      <c r="F196" t="s">
        <v>14</v>
      </c>
      <c r="G196">
        <v>2</v>
      </c>
      <c r="H196" s="1">
        <v>18.989999999999998</v>
      </c>
      <c r="I196" s="1">
        <v>37.979999999999997</v>
      </c>
      <c r="J196">
        <v>4</v>
      </c>
      <c r="K196" t="str">
        <f>TEXT(tbl_RawSales[[#This Row],[Order Date]],"mmm")</f>
        <v>Nov</v>
      </c>
      <c r="L196">
        <f>MONTH(tbl_RawSales[[#This Row],[Order Date]])</f>
        <v>11</v>
      </c>
      <c r="M196" t="str">
        <f>TEXT(tbl_RawSales[[#This Row],[Order Date]],"ddd")</f>
        <v>Tue</v>
      </c>
      <c r="N196">
        <f>WEEKDAY(tbl_RawSales[[#This Row],[Order Date]],2)</f>
        <v>2</v>
      </c>
    </row>
    <row r="197" spans="1:14" x14ac:dyDescent="0.25">
      <c r="A197" t="s">
        <v>247</v>
      </c>
      <c r="B197" s="20">
        <v>45825</v>
      </c>
      <c r="C197" t="s">
        <v>38</v>
      </c>
      <c r="D197" t="s">
        <v>12</v>
      </c>
      <c r="E197" t="s">
        <v>66</v>
      </c>
      <c r="F197" t="s">
        <v>67</v>
      </c>
      <c r="G197">
        <v>3</v>
      </c>
      <c r="H197" s="1">
        <v>7.99</v>
      </c>
      <c r="I197" s="1">
        <v>23.97</v>
      </c>
      <c r="J197">
        <v>4</v>
      </c>
      <c r="K197" t="str">
        <f>TEXT(tbl_RawSales[[#This Row],[Order Date]],"mmm")</f>
        <v>Jun</v>
      </c>
      <c r="L197">
        <f>MONTH(tbl_RawSales[[#This Row],[Order Date]])</f>
        <v>6</v>
      </c>
      <c r="M197" t="str">
        <f>TEXT(tbl_RawSales[[#This Row],[Order Date]],"ddd")</f>
        <v>Tue</v>
      </c>
      <c r="N197">
        <f>WEEKDAY(tbl_RawSales[[#This Row],[Order Date]],2)</f>
        <v>2</v>
      </c>
    </row>
    <row r="198" spans="1:14" x14ac:dyDescent="0.25">
      <c r="A198" t="s">
        <v>248</v>
      </c>
      <c r="B198" s="20">
        <v>45451</v>
      </c>
      <c r="C198" t="s">
        <v>45</v>
      </c>
      <c r="D198" t="s">
        <v>12</v>
      </c>
      <c r="E198" t="s">
        <v>142</v>
      </c>
      <c r="F198" t="s">
        <v>23</v>
      </c>
      <c r="G198">
        <v>2</v>
      </c>
      <c r="H198" s="1">
        <v>14.99</v>
      </c>
      <c r="I198" s="1">
        <v>29.98</v>
      </c>
      <c r="J198">
        <v>2</v>
      </c>
      <c r="K198" t="str">
        <f>TEXT(tbl_RawSales[[#This Row],[Order Date]],"mmm")</f>
        <v>Jun</v>
      </c>
      <c r="L198">
        <f>MONTH(tbl_RawSales[[#This Row],[Order Date]])</f>
        <v>6</v>
      </c>
      <c r="M198" t="str">
        <f>TEXT(tbl_RawSales[[#This Row],[Order Date]],"ddd")</f>
        <v>Sat</v>
      </c>
      <c r="N198">
        <f>WEEKDAY(tbl_RawSales[[#This Row],[Order Date]],2)</f>
        <v>6</v>
      </c>
    </row>
    <row r="199" spans="1:14" x14ac:dyDescent="0.25">
      <c r="A199" t="s">
        <v>249</v>
      </c>
      <c r="B199" s="20">
        <v>45617</v>
      </c>
      <c r="C199" t="s">
        <v>21</v>
      </c>
      <c r="D199" t="s">
        <v>29</v>
      </c>
      <c r="E199" t="s">
        <v>52</v>
      </c>
      <c r="F199" t="s">
        <v>19</v>
      </c>
      <c r="G199">
        <v>4</v>
      </c>
      <c r="H199" s="1">
        <v>6.99</v>
      </c>
      <c r="I199" s="1">
        <v>27.96</v>
      </c>
      <c r="J199">
        <v>3</v>
      </c>
      <c r="K199" t="str">
        <f>TEXT(tbl_RawSales[[#This Row],[Order Date]],"mmm")</f>
        <v>Nov</v>
      </c>
      <c r="L199">
        <f>MONTH(tbl_RawSales[[#This Row],[Order Date]])</f>
        <v>11</v>
      </c>
      <c r="M199" t="str">
        <f>TEXT(tbl_RawSales[[#This Row],[Order Date]],"ddd")</f>
        <v>Thu</v>
      </c>
      <c r="N199">
        <f>WEEKDAY(tbl_RawSales[[#This Row],[Order Date]],2)</f>
        <v>4</v>
      </c>
    </row>
    <row r="200" spans="1:14" x14ac:dyDescent="0.25">
      <c r="A200" t="s">
        <v>250</v>
      </c>
      <c r="B200" s="20">
        <v>45659</v>
      </c>
      <c r="C200" t="s">
        <v>25</v>
      </c>
      <c r="D200" t="s">
        <v>17</v>
      </c>
      <c r="E200" t="s">
        <v>39</v>
      </c>
      <c r="F200" t="s">
        <v>14</v>
      </c>
      <c r="G200">
        <v>1</v>
      </c>
      <c r="H200" s="1">
        <v>24.99</v>
      </c>
      <c r="I200" s="1">
        <v>24.99</v>
      </c>
      <c r="J200">
        <v>4</v>
      </c>
      <c r="K200" t="str">
        <f>TEXT(tbl_RawSales[[#This Row],[Order Date]],"mmm")</f>
        <v>Jan</v>
      </c>
      <c r="L200">
        <f>MONTH(tbl_RawSales[[#This Row],[Order Date]])</f>
        <v>1</v>
      </c>
      <c r="M200" t="str">
        <f>TEXT(tbl_RawSales[[#This Row],[Order Date]],"ddd")</f>
        <v>Thu</v>
      </c>
      <c r="N200">
        <f>WEEKDAY(tbl_RawSales[[#This Row],[Order Date]],2)</f>
        <v>4</v>
      </c>
    </row>
    <row r="201" spans="1:14" x14ac:dyDescent="0.25">
      <c r="A201" t="s">
        <v>251</v>
      </c>
      <c r="B201" s="20">
        <v>45520</v>
      </c>
      <c r="C201" t="s">
        <v>11</v>
      </c>
      <c r="D201" t="s">
        <v>29</v>
      </c>
      <c r="E201" t="s">
        <v>46</v>
      </c>
      <c r="F201" t="s">
        <v>14</v>
      </c>
      <c r="G201">
        <v>1</v>
      </c>
      <c r="H201" s="1">
        <v>32.99</v>
      </c>
      <c r="I201" s="1">
        <v>32.99</v>
      </c>
      <c r="J201">
        <v>5</v>
      </c>
      <c r="K201" t="str">
        <f>TEXT(tbl_RawSales[[#This Row],[Order Date]],"mmm")</f>
        <v>Aug</v>
      </c>
      <c r="L201">
        <f>MONTH(tbl_RawSales[[#This Row],[Order Date]])</f>
        <v>8</v>
      </c>
      <c r="M201" t="str">
        <f>TEXT(tbl_RawSales[[#This Row],[Order Date]],"ddd")</f>
        <v>Fri</v>
      </c>
      <c r="N201">
        <f>WEEKDAY(tbl_RawSales[[#This Row],[Order Date]],2)</f>
        <v>5</v>
      </c>
    </row>
    <row r="202" spans="1:14" x14ac:dyDescent="0.25">
      <c r="A202" t="s">
        <v>252</v>
      </c>
      <c r="B202" s="20">
        <v>45625</v>
      </c>
      <c r="C202" t="s">
        <v>28</v>
      </c>
      <c r="D202" t="s">
        <v>29</v>
      </c>
      <c r="E202" t="s">
        <v>13</v>
      </c>
      <c r="F202" t="s">
        <v>14</v>
      </c>
      <c r="G202">
        <v>1</v>
      </c>
      <c r="H202" s="1">
        <v>18.989999999999998</v>
      </c>
      <c r="I202" s="1">
        <v>18.989999999999998</v>
      </c>
      <c r="J202">
        <v>4</v>
      </c>
      <c r="K202" t="str">
        <f>TEXT(tbl_RawSales[[#This Row],[Order Date]],"mmm")</f>
        <v>Nov</v>
      </c>
      <c r="L202">
        <f>MONTH(tbl_RawSales[[#This Row],[Order Date]])</f>
        <v>11</v>
      </c>
      <c r="M202" t="str">
        <f>TEXT(tbl_RawSales[[#This Row],[Order Date]],"ddd")</f>
        <v>Fri</v>
      </c>
      <c r="N202">
        <f>WEEKDAY(tbl_RawSales[[#This Row],[Order Date]],2)</f>
        <v>5</v>
      </c>
    </row>
    <row r="203" spans="1:14" x14ac:dyDescent="0.25">
      <c r="A203" t="s">
        <v>253</v>
      </c>
      <c r="B203" s="20">
        <v>45817</v>
      </c>
      <c r="C203" t="s">
        <v>16</v>
      </c>
      <c r="D203" t="s">
        <v>29</v>
      </c>
      <c r="E203" t="s">
        <v>30</v>
      </c>
      <c r="F203" t="s">
        <v>19</v>
      </c>
      <c r="G203">
        <v>2</v>
      </c>
      <c r="H203" s="1">
        <v>7.99</v>
      </c>
      <c r="I203" s="1">
        <v>15.98</v>
      </c>
      <c r="J203">
        <v>4</v>
      </c>
      <c r="K203" t="str">
        <f>TEXT(tbl_RawSales[[#This Row],[Order Date]],"mmm")</f>
        <v>Jun</v>
      </c>
      <c r="L203">
        <f>MONTH(tbl_RawSales[[#This Row],[Order Date]])</f>
        <v>6</v>
      </c>
      <c r="M203" t="str">
        <f>TEXT(tbl_RawSales[[#This Row],[Order Date]],"ddd")</f>
        <v>Mon</v>
      </c>
      <c r="N203">
        <f>WEEKDAY(tbl_RawSales[[#This Row],[Order Date]],2)</f>
        <v>1</v>
      </c>
    </row>
    <row r="204" spans="1:14" x14ac:dyDescent="0.25">
      <c r="A204" t="s">
        <v>254</v>
      </c>
      <c r="B204" s="20">
        <v>45423</v>
      </c>
      <c r="C204" t="s">
        <v>16</v>
      </c>
      <c r="D204" t="s">
        <v>12</v>
      </c>
      <c r="E204" t="s">
        <v>36</v>
      </c>
      <c r="F204" t="s">
        <v>14</v>
      </c>
      <c r="G204">
        <v>1</v>
      </c>
      <c r="H204" s="1">
        <v>16.989999999999998</v>
      </c>
      <c r="I204" s="1">
        <v>16.989999999999998</v>
      </c>
      <c r="J204">
        <v>4</v>
      </c>
      <c r="K204" t="str">
        <f>TEXT(tbl_RawSales[[#This Row],[Order Date]],"mmm")</f>
        <v>May</v>
      </c>
      <c r="L204">
        <f>MONTH(tbl_RawSales[[#This Row],[Order Date]])</f>
        <v>5</v>
      </c>
      <c r="M204" t="str">
        <f>TEXT(tbl_RawSales[[#This Row],[Order Date]],"ddd")</f>
        <v>Sat</v>
      </c>
      <c r="N204">
        <f>WEEKDAY(tbl_RawSales[[#This Row],[Order Date]],2)</f>
        <v>6</v>
      </c>
    </row>
    <row r="205" spans="1:14" x14ac:dyDescent="0.25">
      <c r="A205" t="s">
        <v>255</v>
      </c>
      <c r="B205" s="20">
        <v>45625</v>
      </c>
      <c r="C205" t="s">
        <v>32</v>
      </c>
      <c r="D205" t="s">
        <v>12</v>
      </c>
      <c r="E205" t="s">
        <v>66</v>
      </c>
      <c r="F205" t="s">
        <v>67</v>
      </c>
      <c r="G205">
        <v>1</v>
      </c>
      <c r="H205" s="1">
        <v>7.99</v>
      </c>
      <c r="I205" s="1">
        <v>7.99</v>
      </c>
      <c r="J205">
        <v>5</v>
      </c>
      <c r="K205" t="str">
        <f>TEXT(tbl_RawSales[[#This Row],[Order Date]],"mmm")</f>
        <v>Nov</v>
      </c>
      <c r="L205">
        <f>MONTH(tbl_RawSales[[#This Row],[Order Date]])</f>
        <v>11</v>
      </c>
      <c r="M205" t="str">
        <f>TEXT(tbl_RawSales[[#This Row],[Order Date]],"ddd")</f>
        <v>Fri</v>
      </c>
      <c r="N205">
        <f>WEEKDAY(tbl_RawSales[[#This Row],[Order Date]],2)</f>
        <v>5</v>
      </c>
    </row>
    <row r="206" spans="1:14" x14ac:dyDescent="0.25">
      <c r="A206" t="s">
        <v>256</v>
      </c>
      <c r="B206" s="20">
        <v>45466</v>
      </c>
      <c r="C206" t="s">
        <v>32</v>
      </c>
      <c r="D206" t="s">
        <v>29</v>
      </c>
      <c r="E206" t="s">
        <v>36</v>
      </c>
      <c r="F206" t="s">
        <v>14</v>
      </c>
      <c r="G206">
        <v>1</v>
      </c>
      <c r="H206" s="1">
        <v>16.989999999999998</v>
      </c>
      <c r="I206" s="1">
        <v>16.989999999999998</v>
      </c>
      <c r="J206">
        <v>5</v>
      </c>
      <c r="K206" t="str">
        <f>TEXT(tbl_RawSales[[#This Row],[Order Date]],"mmm")</f>
        <v>Jun</v>
      </c>
      <c r="L206">
        <f>MONTH(tbl_RawSales[[#This Row],[Order Date]])</f>
        <v>6</v>
      </c>
      <c r="M206" t="str">
        <f>TEXT(tbl_RawSales[[#This Row],[Order Date]],"ddd")</f>
        <v>Sun</v>
      </c>
      <c r="N206">
        <f>WEEKDAY(tbl_RawSales[[#This Row],[Order Date]],2)</f>
        <v>7</v>
      </c>
    </row>
    <row r="207" spans="1:14" x14ac:dyDescent="0.25">
      <c r="A207" t="s">
        <v>257</v>
      </c>
      <c r="B207" s="20">
        <v>45978</v>
      </c>
      <c r="C207" t="s">
        <v>34</v>
      </c>
      <c r="D207" t="s">
        <v>17</v>
      </c>
      <c r="E207" t="s">
        <v>66</v>
      </c>
      <c r="F207" t="s">
        <v>67</v>
      </c>
      <c r="G207">
        <v>1</v>
      </c>
      <c r="H207" s="1">
        <v>7.99</v>
      </c>
      <c r="I207" s="1">
        <v>7.99</v>
      </c>
      <c r="J207">
        <v>1</v>
      </c>
      <c r="K207" t="str">
        <f>TEXT(tbl_RawSales[[#This Row],[Order Date]],"mmm")</f>
        <v>Nov</v>
      </c>
      <c r="L207">
        <f>MONTH(tbl_RawSales[[#This Row],[Order Date]])</f>
        <v>11</v>
      </c>
      <c r="M207" t="str">
        <f>TEXT(tbl_RawSales[[#This Row],[Order Date]],"ddd")</f>
        <v>Mon</v>
      </c>
      <c r="N207">
        <f>WEEKDAY(tbl_RawSales[[#This Row],[Order Date]],2)</f>
        <v>1</v>
      </c>
    </row>
    <row r="208" spans="1:14" x14ac:dyDescent="0.25">
      <c r="A208" t="s">
        <v>258</v>
      </c>
      <c r="B208" s="20">
        <v>45721</v>
      </c>
      <c r="C208" t="s">
        <v>45</v>
      </c>
      <c r="D208" t="s">
        <v>29</v>
      </c>
      <c r="E208" t="s">
        <v>22</v>
      </c>
      <c r="F208" t="s">
        <v>23</v>
      </c>
      <c r="G208">
        <v>1</v>
      </c>
      <c r="H208" s="1">
        <v>8.99</v>
      </c>
      <c r="I208" s="1">
        <v>8.99</v>
      </c>
      <c r="J208">
        <v>5</v>
      </c>
      <c r="K208" t="str">
        <f>TEXT(tbl_RawSales[[#This Row],[Order Date]],"mmm")</f>
        <v>Mar</v>
      </c>
      <c r="L208">
        <f>MONTH(tbl_RawSales[[#This Row],[Order Date]])</f>
        <v>3</v>
      </c>
      <c r="M208" t="str">
        <f>TEXT(tbl_RawSales[[#This Row],[Order Date]],"ddd")</f>
        <v>Wed</v>
      </c>
      <c r="N208">
        <f>WEEKDAY(tbl_RawSales[[#This Row],[Order Date]],2)</f>
        <v>3</v>
      </c>
    </row>
    <row r="209" spans="1:14" x14ac:dyDescent="0.25">
      <c r="A209" t="s">
        <v>259</v>
      </c>
      <c r="B209" s="20">
        <v>45975</v>
      </c>
      <c r="C209" t="s">
        <v>21</v>
      </c>
      <c r="D209" t="s">
        <v>29</v>
      </c>
      <c r="E209" t="s">
        <v>62</v>
      </c>
      <c r="F209" t="s">
        <v>23</v>
      </c>
      <c r="G209">
        <v>2</v>
      </c>
      <c r="H209" s="1">
        <v>9.99</v>
      </c>
      <c r="I209" s="1">
        <v>19.98</v>
      </c>
      <c r="J209">
        <v>5</v>
      </c>
      <c r="K209" t="str">
        <f>TEXT(tbl_RawSales[[#This Row],[Order Date]],"mmm")</f>
        <v>Nov</v>
      </c>
      <c r="L209">
        <f>MONTH(tbl_RawSales[[#This Row],[Order Date]])</f>
        <v>11</v>
      </c>
      <c r="M209" t="str">
        <f>TEXT(tbl_RawSales[[#This Row],[Order Date]],"ddd")</f>
        <v>Fri</v>
      </c>
      <c r="N209">
        <f>WEEKDAY(tbl_RawSales[[#This Row],[Order Date]],2)</f>
        <v>5</v>
      </c>
    </row>
    <row r="210" spans="1:14" x14ac:dyDescent="0.25">
      <c r="A210" t="s">
        <v>260</v>
      </c>
      <c r="B210" s="20">
        <v>45543</v>
      </c>
      <c r="C210" t="s">
        <v>21</v>
      </c>
      <c r="D210" t="s">
        <v>12</v>
      </c>
      <c r="E210" t="s">
        <v>36</v>
      </c>
      <c r="F210" t="s">
        <v>14</v>
      </c>
      <c r="G210">
        <v>1</v>
      </c>
      <c r="H210" s="1">
        <v>16.989999999999998</v>
      </c>
      <c r="I210" s="1">
        <v>16.989999999999998</v>
      </c>
      <c r="J210">
        <v>5</v>
      </c>
      <c r="K210" t="str">
        <f>TEXT(tbl_RawSales[[#This Row],[Order Date]],"mmm")</f>
        <v>Sept</v>
      </c>
      <c r="L210">
        <f>MONTH(tbl_RawSales[[#This Row],[Order Date]])</f>
        <v>9</v>
      </c>
      <c r="M210" t="str">
        <f>TEXT(tbl_RawSales[[#This Row],[Order Date]],"ddd")</f>
        <v>Sun</v>
      </c>
      <c r="N210">
        <f>WEEKDAY(tbl_RawSales[[#This Row],[Order Date]],2)</f>
        <v>7</v>
      </c>
    </row>
    <row r="211" spans="1:14" x14ac:dyDescent="0.25">
      <c r="A211" t="s">
        <v>261</v>
      </c>
      <c r="B211" s="20">
        <v>45367</v>
      </c>
      <c r="C211" t="s">
        <v>38</v>
      </c>
      <c r="D211" t="s">
        <v>17</v>
      </c>
      <c r="E211" t="s">
        <v>18</v>
      </c>
      <c r="F211" t="s">
        <v>19</v>
      </c>
      <c r="G211">
        <v>1</v>
      </c>
      <c r="H211" s="1">
        <v>9.99</v>
      </c>
      <c r="I211" s="1">
        <v>9.99</v>
      </c>
      <c r="J211">
        <v>4</v>
      </c>
      <c r="K211" t="str">
        <f>TEXT(tbl_RawSales[[#This Row],[Order Date]],"mmm")</f>
        <v>Mar</v>
      </c>
      <c r="L211">
        <f>MONTH(tbl_RawSales[[#This Row],[Order Date]])</f>
        <v>3</v>
      </c>
      <c r="M211" t="str">
        <f>TEXT(tbl_RawSales[[#This Row],[Order Date]],"ddd")</f>
        <v>Sat</v>
      </c>
      <c r="N211">
        <f>WEEKDAY(tbl_RawSales[[#This Row],[Order Date]],2)</f>
        <v>6</v>
      </c>
    </row>
    <row r="212" spans="1:14" x14ac:dyDescent="0.25">
      <c r="A212" t="s">
        <v>262</v>
      </c>
      <c r="B212" s="20">
        <v>45463</v>
      </c>
      <c r="C212" t="s">
        <v>97</v>
      </c>
      <c r="D212" t="s">
        <v>12</v>
      </c>
      <c r="E212" t="s">
        <v>26</v>
      </c>
      <c r="F212" t="s">
        <v>19</v>
      </c>
      <c r="G212">
        <v>2</v>
      </c>
      <c r="H212" s="1">
        <v>3.49</v>
      </c>
      <c r="I212" s="1">
        <v>6.98</v>
      </c>
      <c r="J212">
        <v>5</v>
      </c>
      <c r="K212" t="str">
        <f>TEXT(tbl_RawSales[[#This Row],[Order Date]],"mmm")</f>
        <v>Jun</v>
      </c>
      <c r="L212">
        <f>MONTH(tbl_RawSales[[#This Row],[Order Date]])</f>
        <v>6</v>
      </c>
      <c r="M212" t="str">
        <f>TEXT(tbl_RawSales[[#This Row],[Order Date]],"ddd")</f>
        <v>Thu</v>
      </c>
      <c r="N212">
        <f>WEEKDAY(tbl_RawSales[[#This Row],[Order Date]],2)</f>
        <v>4</v>
      </c>
    </row>
    <row r="213" spans="1:14" x14ac:dyDescent="0.25">
      <c r="A213" t="s">
        <v>263</v>
      </c>
      <c r="B213" s="20">
        <v>45956</v>
      </c>
      <c r="C213" t="s">
        <v>34</v>
      </c>
      <c r="D213" t="s">
        <v>12</v>
      </c>
      <c r="E213" t="s">
        <v>46</v>
      </c>
      <c r="F213" t="s">
        <v>14</v>
      </c>
      <c r="G213">
        <v>2</v>
      </c>
      <c r="H213" s="1">
        <v>32.99</v>
      </c>
      <c r="I213" s="1">
        <v>65.98</v>
      </c>
      <c r="J213">
        <v>4</v>
      </c>
      <c r="K213" t="str">
        <f>TEXT(tbl_RawSales[[#This Row],[Order Date]],"mmm")</f>
        <v>Oct</v>
      </c>
      <c r="L213">
        <f>MONTH(tbl_RawSales[[#This Row],[Order Date]])</f>
        <v>10</v>
      </c>
      <c r="M213" t="str">
        <f>TEXT(tbl_RawSales[[#This Row],[Order Date]],"ddd")</f>
        <v>Sun</v>
      </c>
      <c r="N213">
        <f>WEEKDAY(tbl_RawSales[[#This Row],[Order Date]],2)</f>
        <v>7</v>
      </c>
    </row>
    <row r="214" spans="1:14" x14ac:dyDescent="0.25">
      <c r="A214" t="s">
        <v>264</v>
      </c>
      <c r="B214" s="20">
        <v>45306</v>
      </c>
      <c r="C214" t="s">
        <v>28</v>
      </c>
      <c r="D214" t="s">
        <v>12</v>
      </c>
      <c r="E214" t="s">
        <v>39</v>
      </c>
      <c r="F214" t="s">
        <v>14</v>
      </c>
      <c r="G214">
        <v>1</v>
      </c>
      <c r="H214" s="1">
        <v>24.99</v>
      </c>
      <c r="I214" s="1">
        <v>24.99</v>
      </c>
      <c r="J214">
        <v>3</v>
      </c>
      <c r="K214" t="str">
        <f>TEXT(tbl_RawSales[[#This Row],[Order Date]],"mmm")</f>
        <v>Jan</v>
      </c>
      <c r="L214">
        <f>MONTH(tbl_RawSales[[#This Row],[Order Date]])</f>
        <v>1</v>
      </c>
      <c r="M214" t="str">
        <f>TEXT(tbl_RawSales[[#This Row],[Order Date]],"ddd")</f>
        <v>Mon</v>
      </c>
      <c r="N214">
        <f>WEEKDAY(tbl_RawSales[[#This Row],[Order Date]],2)</f>
        <v>1</v>
      </c>
    </row>
    <row r="215" spans="1:14" x14ac:dyDescent="0.25">
      <c r="A215" t="s">
        <v>265</v>
      </c>
      <c r="B215" s="20">
        <v>45960</v>
      </c>
      <c r="C215" t="s">
        <v>34</v>
      </c>
      <c r="D215" t="s">
        <v>17</v>
      </c>
      <c r="E215" t="s">
        <v>69</v>
      </c>
      <c r="F215" t="s">
        <v>67</v>
      </c>
      <c r="G215">
        <v>1</v>
      </c>
      <c r="H215" s="1">
        <v>8.99</v>
      </c>
      <c r="I215" s="1">
        <v>8.99</v>
      </c>
      <c r="J215">
        <v>4</v>
      </c>
      <c r="K215" t="str">
        <f>TEXT(tbl_RawSales[[#This Row],[Order Date]],"mmm")</f>
        <v>Oct</v>
      </c>
      <c r="L215">
        <f>MONTH(tbl_RawSales[[#This Row],[Order Date]])</f>
        <v>10</v>
      </c>
      <c r="M215" t="str">
        <f>TEXT(tbl_RawSales[[#This Row],[Order Date]],"ddd")</f>
        <v>Thu</v>
      </c>
      <c r="N215">
        <f>WEEKDAY(tbl_RawSales[[#This Row],[Order Date]],2)</f>
        <v>4</v>
      </c>
    </row>
    <row r="216" spans="1:14" x14ac:dyDescent="0.25">
      <c r="A216" t="s">
        <v>266</v>
      </c>
      <c r="B216" s="20">
        <v>45370</v>
      </c>
      <c r="C216" t="s">
        <v>11</v>
      </c>
      <c r="D216" t="s">
        <v>12</v>
      </c>
      <c r="E216" t="s">
        <v>18</v>
      </c>
      <c r="F216" t="s">
        <v>19</v>
      </c>
      <c r="G216">
        <v>2</v>
      </c>
      <c r="H216" s="1">
        <v>9.99</v>
      </c>
      <c r="I216" s="1">
        <v>19.98</v>
      </c>
      <c r="J216">
        <v>4</v>
      </c>
      <c r="K216" t="str">
        <f>TEXT(tbl_RawSales[[#This Row],[Order Date]],"mmm")</f>
        <v>Mar</v>
      </c>
      <c r="L216">
        <f>MONTH(tbl_RawSales[[#This Row],[Order Date]])</f>
        <v>3</v>
      </c>
      <c r="M216" t="str">
        <f>TEXT(tbl_RawSales[[#This Row],[Order Date]],"ddd")</f>
        <v>Tue</v>
      </c>
      <c r="N216">
        <f>WEEKDAY(tbl_RawSales[[#This Row],[Order Date]],2)</f>
        <v>2</v>
      </c>
    </row>
    <row r="217" spans="1:14" x14ac:dyDescent="0.25">
      <c r="A217" t="s">
        <v>267</v>
      </c>
      <c r="B217" s="20">
        <v>45652</v>
      </c>
      <c r="C217" t="s">
        <v>28</v>
      </c>
      <c r="D217" t="s">
        <v>17</v>
      </c>
      <c r="E217" t="s">
        <v>119</v>
      </c>
      <c r="F217" t="s">
        <v>19</v>
      </c>
      <c r="G217">
        <v>1</v>
      </c>
      <c r="H217" s="1">
        <v>4.99</v>
      </c>
      <c r="I217" s="1">
        <v>4.99</v>
      </c>
      <c r="J217">
        <v>4</v>
      </c>
      <c r="K217" t="str">
        <f>TEXT(tbl_RawSales[[#This Row],[Order Date]],"mmm")</f>
        <v>Dec</v>
      </c>
      <c r="L217">
        <f>MONTH(tbl_RawSales[[#This Row],[Order Date]])</f>
        <v>12</v>
      </c>
      <c r="M217" t="str">
        <f>TEXT(tbl_RawSales[[#This Row],[Order Date]],"ddd")</f>
        <v>Thu</v>
      </c>
      <c r="N217">
        <f>WEEKDAY(tbl_RawSales[[#This Row],[Order Date]],2)</f>
        <v>4</v>
      </c>
    </row>
    <row r="218" spans="1:14" x14ac:dyDescent="0.25">
      <c r="A218" t="s">
        <v>268</v>
      </c>
      <c r="B218" s="20">
        <v>45976</v>
      </c>
      <c r="C218" t="s">
        <v>97</v>
      </c>
      <c r="D218" t="s">
        <v>17</v>
      </c>
      <c r="E218" t="s">
        <v>22</v>
      </c>
      <c r="F218" t="s">
        <v>23</v>
      </c>
      <c r="G218">
        <v>2</v>
      </c>
      <c r="H218" s="1">
        <v>8.99</v>
      </c>
      <c r="I218" s="1">
        <v>17.98</v>
      </c>
      <c r="J218">
        <v>4</v>
      </c>
      <c r="K218" t="str">
        <f>TEXT(tbl_RawSales[[#This Row],[Order Date]],"mmm")</f>
        <v>Nov</v>
      </c>
      <c r="L218">
        <f>MONTH(tbl_RawSales[[#This Row],[Order Date]])</f>
        <v>11</v>
      </c>
      <c r="M218" t="str">
        <f>TEXT(tbl_RawSales[[#This Row],[Order Date]],"ddd")</f>
        <v>Sat</v>
      </c>
      <c r="N218">
        <f>WEEKDAY(tbl_RawSales[[#This Row],[Order Date]],2)</f>
        <v>6</v>
      </c>
    </row>
    <row r="219" spans="1:14" x14ac:dyDescent="0.25">
      <c r="A219" t="s">
        <v>269</v>
      </c>
      <c r="B219" s="20">
        <v>45849</v>
      </c>
      <c r="C219" t="s">
        <v>45</v>
      </c>
      <c r="D219" t="s">
        <v>29</v>
      </c>
      <c r="E219" t="s">
        <v>83</v>
      </c>
      <c r="F219" t="s">
        <v>14</v>
      </c>
      <c r="G219">
        <v>2</v>
      </c>
      <c r="H219" s="1">
        <v>17.989999999999998</v>
      </c>
      <c r="I219" s="1">
        <v>35.979999999999997</v>
      </c>
      <c r="J219">
        <v>3</v>
      </c>
      <c r="K219" t="str">
        <f>TEXT(tbl_RawSales[[#This Row],[Order Date]],"mmm")</f>
        <v>Jul</v>
      </c>
      <c r="L219">
        <f>MONTH(tbl_RawSales[[#This Row],[Order Date]])</f>
        <v>7</v>
      </c>
      <c r="M219" t="str">
        <f>TEXT(tbl_RawSales[[#This Row],[Order Date]],"ddd")</f>
        <v>Fri</v>
      </c>
      <c r="N219">
        <f>WEEKDAY(tbl_RawSales[[#This Row],[Order Date]],2)</f>
        <v>5</v>
      </c>
    </row>
    <row r="220" spans="1:14" x14ac:dyDescent="0.25">
      <c r="A220" t="s">
        <v>270</v>
      </c>
      <c r="B220" s="20">
        <v>45713</v>
      </c>
      <c r="C220" t="s">
        <v>16</v>
      </c>
      <c r="D220" t="s">
        <v>12</v>
      </c>
      <c r="E220" t="s">
        <v>112</v>
      </c>
      <c r="F220" t="s">
        <v>19</v>
      </c>
      <c r="G220">
        <v>1</v>
      </c>
      <c r="H220" s="1">
        <v>5.99</v>
      </c>
      <c r="I220" s="1">
        <v>5.99</v>
      </c>
      <c r="J220">
        <v>4</v>
      </c>
      <c r="K220" t="str">
        <f>TEXT(tbl_RawSales[[#This Row],[Order Date]],"mmm")</f>
        <v>Feb</v>
      </c>
      <c r="L220">
        <f>MONTH(tbl_RawSales[[#This Row],[Order Date]])</f>
        <v>2</v>
      </c>
      <c r="M220" t="str">
        <f>TEXT(tbl_RawSales[[#This Row],[Order Date]],"ddd")</f>
        <v>Tue</v>
      </c>
      <c r="N220">
        <f>WEEKDAY(tbl_RawSales[[#This Row],[Order Date]],2)</f>
        <v>2</v>
      </c>
    </row>
    <row r="221" spans="1:14" x14ac:dyDescent="0.25">
      <c r="A221" t="s">
        <v>271</v>
      </c>
      <c r="B221" s="20">
        <v>45584</v>
      </c>
      <c r="C221" t="s">
        <v>25</v>
      </c>
      <c r="D221" t="s">
        <v>17</v>
      </c>
      <c r="E221" t="s">
        <v>50</v>
      </c>
      <c r="F221" t="s">
        <v>14</v>
      </c>
      <c r="G221">
        <v>2</v>
      </c>
      <c r="H221" s="1">
        <v>22.99</v>
      </c>
      <c r="I221" s="1">
        <v>45.98</v>
      </c>
      <c r="J221">
        <v>4</v>
      </c>
      <c r="K221" t="str">
        <f>TEXT(tbl_RawSales[[#This Row],[Order Date]],"mmm")</f>
        <v>Oct</v>
      </c>
      <c r="L221">
        <f>MONTH(tbl_RawSales[[#This Row],[Order Date]])</f>
        <v>10</v>
      </c>
      <c r="M221" t="str">
        <f>TEXT(tbl_RawSales[[#This Row],[Order Date]],"ddd")</f>
        <v>Sat</v>
      </c>
      <c r="N221">
        <f>WEEKDAY(tbl_RawSales[[#This Row],[Order Date]],2)</f>
        <v>6</v>
      </c>
    </row>
    <row r="222" spans="1:14" x14ac:dyDescent="0.25">
      <c r="A222" t="s">
        <v>272</v>
      </c>
      <c r="B222" s="20">
        <v>45803</v>
      </c>
      <c r="C222" t="s">
        <v>25</v>
      </c>
      <c r="D222" t="s">
        <v>29</v>
      </c>
      <c r="E222" t="s">
        <v>55</v>
      </c>
      <c r="F222" t="s">
        <v>23</v>
      </c>
      <c r="G222">
        <v>4</v>
      </c>
      <c r="H222" s="1">
        <v>10.99</v>
      </c>
      <c r="I222" s="1">
        <v>43.96</v>
      </c>
      <c r="J222">
        <v>5</v>
      </c>
      <c r="K222" t="str">
        <f>TEXT(tbl_RawSales[[#This Row],[Order Date]],"mmm")</f>
        <v>May</v>
      </c>
      <c r="L222">
        <f>MONTH(tbl_RawSales[[#This Row],[Order Date]])</f>
        <v>5</v>
      </c>
      <c r="M222" t="str">
        <f>TEXT(tbl_RawSales[[#This Row],[Order Date]],"ddd")</f>
        <v>Mon</v>
      </c>
      <c r="N222">
        <f>WEEKDAY(tbl_RawSales[[#This Row],[Order Date]],2)</f>
        <v>1</v>
      </c>
    </row>
    <row r="223" spans="1:14" x14ac:dyDescent="0.25">
      <c r="A223" t="s">
        <v>273</v>
      </c>
      <c r="B223" s="20">
        <v>45759</v>
      </c>
      <c r="C223" t="s">
        <v>28</v>
      </c>
      <c r="D223" t="s">
        <v>29</v>
      </c>
      <c r="E223" t="s">
        <v>57</v>
      </c>
      <c r="F223" t="s">
        <v>14</v>
      </c>
      <c r="G223">
        <v>1</v>
      </c>
      <c r="H223" s="1">
        <v>15.99</v>
      </c>
      <c r="I223" s="1">
        <v>15.99</v>
      </c>
      <c r="J223">
        <v>5</v>
      </c>
      <c r="K223" t="str">
        <f>TEXT(tbl_RawSales[[#This Row],[Order Date]],"mmm")</f>
        <v>Apr</v>
      </c>
      <c r="L223">
        <f>MONTH(tbl_RawSales[[#This Row],[Order Date]])</f>
        <v>4</v>
      </c>
      <c r="M223" t="str">
        <f>TEXT(tbl_RawSales[[#This Row],[Order Date]],"ddd")</f>
        <v>Sat</v>
      </c>
      <c r="N223">
        <f>WEEKDAY(tbl_RawSales[[#This Row],[Order Date]],2)</f>
        <v>6</v>
      </c>
    </row>
    <row r="224" spans="1:14" x14ac:dyDescent="0.25">
      <c r="A224" t="s">
        <v>274</v>
      </c>
      <c r="B224" s="20">
        <v>45593</v>
      </c>
      <c r="C224" t="s">
        <v>21</v>
      </c>
      <c r="D224" t="s">
        <v>29</v>
      </c>
      <c r="E224" t="s">
        <v>62</v>
      </c>
      <c r="F224" t="s">
        <v>23</v>
      </c>
      <c r="G224">
        <v>1</v>
      </c>
      <c r="H224" s="1">
        <v>9.99</v>
      </c>
      <c r="I224" s="1">
        <v>9.99</v>
      </c>
      <c r="J224">
        <v>4</v>
      </c>
      <c r="K224" t="str">
        <f>TEXT(tbl_RawSales[[#This Row],[Order Date]],"mmm")</f>
        <v>Oct</v>
      </c>
      <c r="L224">
        <f>MONTH(tbl_RawSales[[#This Row],[Order Date]])</f>
        <v>10</v>
      </c>
      <c r="M224" t="str">
        <f>TEXT(tbl_RawSales[[#This Row],[Order Date]],"ddd")</f>
        <v>Mon</v>
      </c>
      <c r="N224">
        <f>WEEKDAY(tbl_RawSales[[#This Row],[Order Date]],2)</f>
        <v>1</v>
      </c>
    </row>
    <row r="225" spans="1:14" x14ac:dyDescent="0.25">
      <c r="A225" t="s">
        <v>275</v>
      </c>
      <c r="B225" s="20">
        <v>45768</v>
      </c>
      <c r="C225" t="s">
        <v>45</v>
      </c>
      <c r="D225" t="s">
        <v>12</v>
      </c>
      <c r="E225" t="s">
        <v>46</v>
      </c>
      <c r="F225" t="s">
        <v>14</v>
      </c>
      <c r="G225">
        <v>4</v>
      </c>
      <c r="H225" s="1">
        <v>32.99</v>
      </c>
      <c r="I225" s="1">
        <v>131.96</v>
      </c>
      <c r="J225">
        <v>5</v>
      </c>
      <c r="K225" t="str">
        <f>TEXT(tbl_RawSales[[#This Row],[Order Date]],"mmm")</f>
        <v>Apr</v>
      </c>
      <c r="L225">
        <f>MONTH(tbl_RawSales[[#This Row],[Order Date]])</f>
        <v>4</v>
      </c>
      <c r="M225" t="str">
        <f>TEXT(tbl_RawSales[[#This Row],[Order Date]],"ddd")</f>
        <v>Mon</v>
      </c>
      <c r="N225">
        <f>WEEKDAY(tbl_RawSales[[#This Row],[Order Date]],2)</f>
        <v>1</v>
      </c>
    </row>
    <row r="226" spans="1:14" x14ac:dyDescent="0.25">
      <c r="A226" t="s">
        <v>276</v>
      </c>
      <c r="B226" s="20">
        <v>45651</v>
      </c>
      <c r="C226" t="s">
        <v>32</v>
      </c>
      <c r="D226" t="s">
        <v>29</v>
      </c>
      <c r="E226" t="s">
        <v>26</v>
      </c>
      <c r="F226" t="s">
        <v>19</v>
      </c>
      <c r="G226">
        <v>1</v>
      </c>
      <c r="H226" s="1">
        <v>3.49</v>
      </c>
      <c r="I226" s="1">
        <v>3.49</v>
      </c>
      <c r="J226">
        <v>5</v>
      </c>
      <c r="K226" t="str">
        <f>TEXT(tbl_RawSales[[#This Row],[Order Date]],"mmm")</f>
        <v>Dec</v>
      </c>
      <c r="L226">
        <f>MONTH(tbl_RawSales[[#This Row],[Order Date]])</f>
        <v>12</v>
      </c>
      <c r="M226" t="str">
        <f>TEXT(tbl_RawSales[[#This Row],[Order Date]],"ddd")</f>
        <v>Wed</v>
      </c>
      <c r="N226">
        <f>WEEKDAY(tbl_RawSales[[#This Row],[Order Date]],2)</f>
        <v>3</v>
      </c>
    </row>
    <row r="227" spans="1:14" x14ac:dyDescent="0.25">
      <c r="A227" t="s">
        <v>277</v>
      </c>
      <c r="B227" s="20">
        <v>45885</v>
      </c>
      <c r="C227" t="s">
        <v>11</v>
      </c>
      <c r="D227" t="s">
        <v>12</v>
      </c>
      <c r="E227" t="s">
        <v>30</v>
      </c>
      <c r="F227" t="s">
        <v>19</v>
      </c>
      <c r="G227">
        <v>1</v>
      </c>
      <c r="H227" s="1">
        <v>7.99</v>
      </c>
      <c r="I227" s="1">
        <v>7.99</v>
      </c>
      <c r="J227">
        <v>4</v>
      </c>
      <c r="K227" t="str">
        <f>TEXT(tbl_RawSales[[#This Row],[Order Date]],"mmm")</f>
        <v>Aug</v>
      </c>
      <c r="L227">
        <f>MONTH(tbl_RawSales[[#This Row],[Order Date]])</f>
        <v>8</v>
      </c>
      <c r="M227" t="str">
        <f>TEXT(tbl_RawSales[[#This Row],[Order Date]],"ddd")</f>
        <v>Sat</v>
      </c>
      <c r="N227">
        <f>WEEKDAY(tbl_RawSales[[#This Row],[Order Date]],2)</f>
        <v>6</v>
      </c>
    </row>
    <row r="228" spans="1:14" x14ac:dyDescent="0.25">
      <c r="A228" t="s">
        <v>278</v>
      </c>
      <c r="B228" s="20">
        <v>45672</v>
      </c>
      <c r="C228" t="s">
        <v>32</v>
      </c>
      <c r="D228" t="s">
        <v>29</v>
      </c>
      <c r="E228" t="s">
        <v>46</v>
      </c>
      <c r="F228" t="s">
        <v>14</v>
      </c>
      <c r="G228">
        <v>2</v>
      </c>
      <c r="H228" s="1">
        <v>32.99</v>
      </c>
      <c r="I228" s="1">
        <v>65.98</v>
      </c>
      <c r="J228">
        <v>5</v>
      </c>
      <c r="K228" t="str">
        <f>TEXT(tbl_RawSales[[#This Row],[Order Date]],"mmm")</f>
        <v>Jan</v>
      </c>
      <c r="L228">
        <f>MONTH(tbl_RawSales[[#This Row],[Order Date]])</f>
        <v>1</v>
      </c>
      <c r="M228" t="str">
        <f>TEXT(tbl_RawSales[[#This Row],[Order Date]],"ddd")</f>
        <v>Wed</v>
      </c>
      <c r="N228">
        <f>WEEKDAY(tbl_RawSales[[#This Row],[Order Date]],2)</f>
        <v>3</v>
      </c>
    </row>
    <row r="229" spans="1:14" x14ac:dyDescent="0.25">
      <c r="A229" t="s">
        <v>279</v>
      </c>
      <c r="B229" s="20">
        <v>45702</v>
      </c>
      <c r="C229" t="s">
        <v>38</v>
      </c>
      <c r="D229" t="s">
        <v>29</v>
      </c>
      <c r="E229" t="s">
        <v>142</v>
      </c>
      <c r="F229" t="s">
        <v>23</v>
      </c>
      <c r="G229">
        <v>2</v>
      </c>
      <c r="H229" s="1">
        <v>14.99</v>
      </c>
      <c r="I229" s="1">
        <v>29.98</v>
      </c>
      <c r="J229">
        <v>5</v>
      </c>
      <c r="K229" t="str">
        <f>TEXT(tbl_RawSales[[#This Row],[Order Date]],"mmm")</f>
        <v>Feb</v>
      </c>
      <c r="L229">
        <f>MONTH(tbl_RawSales[[#This Row],[Order Date]])</f>
        <v>2</v>
      </c>
      <c r="M229" t="str">
        <f>TEXT(tbl_RawSales[[#This Row],[Order Date]],"ddd")</f>
        <v>Fri</v>
      </c>
      <c r="N229">
        <f>WEEKDAY(tbl_RawSales[[#This Row],[Order Date]],2)</f>
        <v>5</v>
      </c>
    </row>
    <row r="230" spans="1:14" x14ac:dyDescent="0.25">
      <c r="A230" t="s">
        <v>280</v>
      </c>
      <c r="B230" s="20">
        <v>45606</v>
      </c>
      <c r="C230" t="s">
        <v>21</v>
      </c>
      <c r="D230" t="s">
        <v>29</v>
      </c>
      <c r="E230" t="s">
        <v>50</v>
      </c>
      <c r="F230" t="s">
        <v>14</v>
      </c>
      <c r="G230">
        <v>2</v>
      </c>
      <c r="H230" s="1">
        <v>22.99</v>
      </c>
      <c r="I230" s="1">
        <v>45.98</v>
      </c>
      <c r="J230">
        <v>3</v>
      </c>
      <c r="K230" t="str">
        <f>TEXT(tbl_RawSales[[#This Row],[Order Date]],"mmm")</f>
        <v>Nov</v>
      </c>
      <c r="L230">
        <f>MONTH(tbl_RawSales[[#This Row],[Order Date]])</f>
        <v>11</v>
      </c>
      <c r="M230" t="str">
        <f>TEXT(tbl_RawSales[[#This Row],[Order Date]],"ddd")</f>
        <v>Sun</v>
      </c>
      <c r="N230">
        <f>WEEKDAY(tbl_RawSales[[#This Row],[Order Date]],2)</f>
        <v>7</v>
      </c>
    </row>
    <row r="231" spans="1:14" x14ac:dyDescent="0.25">
      <c r="A231" t="s">
        <v>281</v>
      </c>
      <c r="B231" s="20">
        <v>45462</v>
      </c>
      <c r="C231" t="s">
        <v>32</v>
      </c>
      <c r="D231" t="s">
        <v>12</v>
      </c>
      <c r="E231" t="s">
        <v>46</v>
      </c>
      <c r="F231" t="s">
        <v>14</v>
      </c>
      <c r="G231">
        <v>3</v>
      </c>
      <c r="H231" s="1">
        <v>32.99</v>
      </c>
      <c r="I231" s="1">
        <v>98.97</v>
      </c>
      <c r="J231">
        <v>5</v>
      </c>
      <c r="K231" t="str">
        <f>TEXT(tbl_RawSales[[#This Row],[Order Date]],"mmm")</f>
        <v>Jun</v>
      </c>
      <c r="L231">
        <f>MONTH(tbl_RawSales[[#This Row],[Order Date]])</f>
        <v>6</v>
      </c>
      <c r="M231" t="str">
        <f>TEXT(tbl_RawSales[[#This Row],[Order Date]],"ddd")</f>
        <v>Wed</v>
      </c>
      <c r="N231">
        <f>WEEKDAY(tbl_RawSales[[#This Row],[Order Date]],2)</f>
        <v>3</v>
      </c>
    </row>
    <row r="232" spans="1:14" x14ac:dyDescent="0.25">
      <c r="A232" t="s">
        <v>282</v>
      </c>
      <c r="B232" s="20">
        <v>45951</v>
      </c>
      <c r="C232" t="s">
        <v>11</v>
      </c>
      <c r="D232" t="s">
        <v>17</v>
      </c>
      <c r="E232" t="s">
        <v>52</v>
      </c>
      <c r="F232" t="s">
        <v>19</v>
      </c>
      <c r="G232">
        <v>1</v>
      </c>
      <c r="H232" s="1">
        <v>6.99</v>
      </c>
      <c r="I232" s="1">
        <v>6.99</v>
      </c>
      <c r="J232">
        <v>4</v>
      </c>
      <c r="K232" t="str">
        <f>TEXT(tbl_RawSales[[#This Row],[Order Date]],"mmm")</f>
        <v>Oct</v>
      </c>
      <c r="L232">
        <f>MONTH(tbl_RawSales[[#This Row],[Order Date]])</f>
        <v>10</v>
      </c>
      <c r="M232" t="str">
        <f>TEXT(tbl_RawSales[[#This Row],[Order Date]],"ddd")</f>
        <v>Tue</v>
      </c>
      <c r="N232">
        <f>WEEKDAY(tbl_RawSales[[#This Row],[Order Date]],2)</f>
        <v>2</v>
      </c>
    </row>
    <row r="233" spans="1:14" x14ac:dyDescent="0.25">
      <c r="A233" t="s">
        <v>283</v>
      </c>
      <c r="B233" s="20">
        <v>45610</v>
      </c>
      <c r="C233" t="s">
        <v>25</v>
      </c>
      <c r="D233" t="s">
        <v>29</v>
      </c>
      <c r="E233" t="s">
        <v>13</v>
      </c>
      <c r="F233" t="s">
        <v>14</v>
      </c>
      <c r="G233">
        <v>3</v>
      </c>
      <c r="H233" s="1">
        <v>18.989999999999998</v>
      </c>
      <c r="I233" s="1">
        <v>56.97</v>
      </c>
      <c r="J233">
        <v>4</v>
      </c>
      <c r="K233" t="str">
        <f>TEXT(tbl_RawSales[[#This Row],[Order Date]],"mmm")</f>
        <v>Nov</v>
      </c>
      <c r="L233">
        <f>MONTH(tbl_RawSales[[#This Row],[Order Date]])</f>
        <v>11</v>
      </c>
      <c r="M233" t="str">
        <f>TEXT(tbl_RawSales[[#This Row],[Order Date]],"ddd")</f>
        <v>Thu</v>
      </c>
      <c r="N233">
        <f>WEEKDAY(tbl_RawSales[[#This Row],[Order Date]],2)</f>
        <v>4</v>
      </c>
    </row>
    <row r="234" spans="1:14" x14ac:dyDescent="0.25">
      <c r="A234" t="s">
        <v>284</v>
      </c>
      <c r="B234" s="20">
        <v>45620</v>
      </c>
      <c r="C234" t="s">
        <v>25</v>
      </c>
      <c r="D234" t="s">
        <v>12</v>
      </c>
      <c r="E234" t="s">
        <v>43</v>
      </c>
      <c r="F234" t="s">
        <v>23</v>
      </c>
      <c r="G234">
        <v>2</v>
      </c>
      <c r="H234" s="1">
        <v>11.99</v>
      </c>
      <c r="I234" s="1">
        <v>23.98</v>
      </c>
      <c r="J234">
        <v>4</v>
      </c>
      <c r="K234" t="str">
        <f>TEXT(tbl_RawSales[[#This Row],[Order Date]],"mmm")</f>
        <v>Nov</v>
      </c>
      <c r="L234">
        <f>MONTH(tbl_RawSales[[#This Row],[Order Date]])</f>
        <v>11</v>
      </c>
      <c r="M234" t="str">
        <f>TEXT(tbl_RawSales[[#This Row],[Order Date]],"ddd")</f>
        <v>Sun</v>
      </c>
      <c r="N234">
        <f>WEEKDAY(tbl_RawSales[[#This Row],[Order Date]],2)</f>
        <v>7</v>
      </c>
    </row>
    <row r="235" spans="1:14" x14ac:dyDescent="0.25">
      <c r="A235" t="s">
        <v>285</v>
      </c>
      <c r="B235" s="20">
        <v>45743</v>
      </c>
      <c r="C235" t="s">
        <v>34</v>
      </c>
      <c r="D235" t="s">
        <v>17</v>
      </c>
      <c r="E235" t="s">
        <v>26</v>
      </c>
      <c r="F235" t="s">
        <v>19</v>
      </c>
      <c r="G235">
        <v>1</v>
      </c>
      <c r="H235" s="1">
        <v>3.49</v>
      </c>
      <c r="I235" s="1">
        <v>3.49</v>
      </c>
      <c r="J235">
        <v>2</v>
      </c>
      <c r="K235" t="str">
        <f>TEXT(tbl_RawSales[[#This Row],[Order Date]],"mmm")</f>
        <v>Mar</v>
      </c>
      <c r="L235">
        <f>MONTH(tbl_RawSales[[#This Row],[Order Date]])</f>
        <v>3</v>
      </c>
      <c r="M235" t="str">
        <f>TEXT(tbl_RawSales[[#This Row],[Order Date]],"ddd")</f>
        <v>Thu</v>
      </c>
      <c r="N235">
        <f>WEEKDAY(tbl_RawSales[[#This Row],[Order Date]],2)</f>
        <v>4</v>
      </c>
    </row>
    <row r="236" spans="1:14" x14ac:dyDescent="0.25">
      <c r="A236" t="s">
        <v>286</v>
      </c>
      <c r="B236" s="20">
        <v>45529</v>
      </c>
      <c r="C236" t="s">
        <v>38</v>
      </c>
      <c r="D236" t="s">
        <v>17</v>
      </c>
      <c r="E236" t="s">
        <v>36</v>
      </c>
      <c r="F236" t="s">
        <v>14</v>
      </c>
      <c r="G236">
        <v>1</v>
      </c>
      <c r="H236" s="1">
        <v>16.989999999999998</v>
      </c>
      <c r="I236" s="1">
        <v>16.989999999999998</v>
      </c>
      <c r="J236">
        <v>3</v>
      </c>
      <c r="K236" t="str">
        <f>TEXT(tbl_RawSales[[#This Row],[Order Date]],"mmm")</f>
        <v>Aug</v>
      </c>
      <c r="L236">
        <f>MONTH(tbl_RawSales[[#This Row],[Order Date]])</f>
        <v>8</v>
      </c>
      <c r="M236" t="str">
        <f>TEXT(tbl_RawSales[[#This Row],[Order Date]],"ddd")</f>
        <v>Sun</v>
      </c>
      <c r="N236">
        <f>WEEKDAY(tbl_RawSales[[#This Row],[Order Date]],2)</f>
        <v>7</v>
      </c>
    </row>
    <row r="237" spans="1:14" x14ac:dyDescent="0.25">
      <c r="A237" t="s">
        <v>287</v>
      </c>
      <c r="B237" s="20">
        <v>45470</v>
      </c>
      <c r="C237" t="s">
        <v>32</v>
      </c>
      <c r="D237" t="s">
        <v>12</v>
      </c>
      <c r="E237" t="s">
        <v>36</v>
      </c>
      <c r="F237" t="s">
        <v>14</v>
      </c>
      <c r="G237">
        <v>3</v>
      </c>
      <c r="H237" s="1">
        <v>16.989999999999998</v>
      </c>
      <c r="I237" s="1">
        <v>50.97</v>
      </c>
      <c r="J237">
        <v>3</v>
      </c>
      <c r="K237" t="str">
        <f>TEXT(tbl_RawSales[[#This Row],[Order Date]],"mmm")</f>
        <v>Jun</v>
      </c>
      <c r="L237">
        <f>MONTH(tbl_RawSales[[#This Row],[Order Date]])</f>
        <v>6</v>
      </c>
      <c r="M237" t="str">
        <f>TEXT(tbl_RawSales[[#This Row],[Order Date]],"ddd")</f>
        <v>Thu</v>
      </c>
      <c r="N237">
        <f>WEEKDAY(tbl_RawSales[[#This Row],[Order Date]],2)</f>
        <v>4</v>
      </c>
    </row>
    <row r="238" spans="1:14" x14ac:dyDescent="0.25">
      <c r="A238" t="s">
        <v>288</v>
      </c>
      <c r="B238" s="20">
        <v>45899</v>
      </c>
      <c r="C238" t="s">
        <v>97</v>
      </c>
      <c r="D238" t="s">
        <v>29</v>
      </c>
      <c r="E238" t="s">
        <v>66</v>
      </c>
      <c r="F238" t="s">
        <v>67</v>
      </c>
      <c r="G238">
        <v>2</v>
      </c>
      <c r="H238" s="1">
        <v>7.99</v>
      </c>
      <c r="I238" s="1">
        <v>15.98</v>
      </c>
      <c r="J238">
        <v>3</v>
      </c>
      <c r="K238" t="str">
        <f>TEXT(tbl_RawSales[[#This Row],[Order Date]],"mmm")</f>
        <v>Aug</v>
      </c>
      <c r="L238">
        <f>MONTH(tbl_RawSales[[#This Row],[Order Date]])</f>
        <v>8</v>
      </c>
      <c r="M238" t="str">
        <f>TEXT(tbl_RawSales[[#This Row],[Order Date]],"ddd")</f>
        <v>Sat</v>
      </c>
      <c r="N238">
        <f>WEEKDAY(tbl_RawSales[[#This Row],[Order Date]],2)</f>
        <v>6</v>
      </c>
    </row>
    <row r="239" spans="1:14" x14ac:dyDescent="0.25">
      <c r="A239" t="s">
        <v>289</v>
      </c>
      <c r="B239" s="20">
        <v>45935</v>
      </c>
      <c r="C239" t="s">
        <v>16</v>
      </c>
      <c r="D239" t="s">
        <v>17</v>
      </c>
      <c r="E239" t="s">
        <v>79</v>
      </c>
      <c r="F239" t="s">
        <v>67</v>
      </c>
      <c r="G239">
        <v>3</v>
      </c>
      <c r="H239" s="1">
        <v>10.99</v>
      </c>
      <c r="I239" s="1">
        <v>32.97</v>
      </c>
      <c r="J239">
        <v>4</v>
      </c>
      <c r="K239" t="str">
        <f>TEXT(tbl_RawSales[[#This Row],[Order Date]],"mmm")</f>
        <v>Oct</v>
      </c>
      <c r="L239">
        <f>MONTH(tbl_RawSales[[#This Row],[Order Date]])</f>
        <v>10</v>
      </c>
      <c r="M239" t="str">
        <f>TEXT(tbl_RawSales[[#This Row],[Order Date]],"ddd")</f>
        <v>Sun</v>
      </c>
      <c r="N239">
        <f>WEEKDAY(tbl_RawSales[[#This Row],[Order Date]],2)</f>
        <v>7</v>
      </c>
    </row>
    <row r="240" spans="1:14" x14ac:dyDescent="0.25">
      <c r="A240" t="s">
        <v>290</v>
      </c>
      <c r="B240" s="20">
        <v>45766</v>
      </c>
      <c r="C240" t="s">
        <v>32</v>
      </c>
      <c r="D240" t="s">
        <v>12</v>
      </c>
      <c r="E240" t="s">
        <v>39</v>
      </c>
      <c r="F240" t="s">
        <v>14</v>
      </c>
      <c r="G240">
        <v>1</v>
      </c>
      <c r="H240" s="1">
        <v>24.99</v>
      </c>
      <c r="I240" s="1">
        <v>24.99</v>
      </c>
      <c r="J240">
        <v>4</v>
      </c>
      <c r="K240" t="str">
        <f>TEXT(tbl_RawSales[[#This Row],[Order Date]],"mmm")</f>
        <v>Apr</v>
      </c>
      <c r="L240">
        <f>MONTH(tbl_RawSales[[#This Row],[Order Date]])</f>
        <v>4</v>
      </c>
      <c r="M240" t="str">
        <f>TEXT(tbl_RawSales[[#This Row],[Order Date]],"ddd")</f>
        <v>Sat</v>
      </c>
      <c r="N240">
        <f>WEEKDAY(tbl_RawSales[[#This Row],[Order Date]],2)</f>
        <v>6</v>
      </c>
    </row>
    <row r="241" spans="1:14" x14ac:dyDescent="0.25">
      <c r="A241" t="s">
        <v>291</v>
      </c>
      <c r="B241" s="20">
        <v>45571</v>
      </c>
      <c r="C241" t="s">
        <v>28</v>
      </c>
      <c r="D241" t="s">
        <v>29</v>
      </c>
      <c r="E241" t="s">
        <v>69</v>
      </c>
      <c r="F241" t="s">
        <v>67</v>
      </c>
      <c r="G241">
        <v>1</v>
      </c>
      <c r="H241" s="1">
        <v>8.99</v>
      </c>
      <c r="I241" s="1">
        <v>8.99</v>
      </c>
      <c r="J241">
        <v>5</v>
      </c>
      <c r="K241" t="str">
        <f>TEXT(tbl_RawSales[[#This Row],[Order Date]],"mmm")</f>
        <v>Oct</v>
      </c>
      <c r="L241">
        <f>MONTH(tbl_RawSales[[#This Row],[Order Date]])</f>
        <v>10</v>
      </c>
      <c r="M241" t="str">
        <f>TEXT(tbl_RawSales[[#This Row],[Order Date]],"ddd")</f>
        <v>Sun</v>
      </c>
      <c r="N241">
        <f>WEEKDAY(tbl_RawSales[[#This Row],[Order Date]],2)</f>
        <v>7</v>
      </c>
    </row>
    <row r="242" spans="1:14" x14ac:dyDescent="0.25">
      <c r="A242" t="s">
        <v>292</v>
      </c>
      <c r="B242" s="20">
        <v>45553</v>
      </c>
      <c r="C242" t="s">
        <v>32</v>
      </c>
      <c r="D242" t="s">
        <v>17</v>
      </c>
      <c r="E242" t="s">
        <v>30</v>
      </c>
      <c r="F242" t="s">
        <v>19</v>
      </c>
      <c r="G242">
        <v>2</v>
      </c>
      <c r="H242" s="1">
        <v>7.99</v>
      </c>
      <c r="I242" s="1">
        <v>15.98</v>
      </c>
      <c r="J242">
        <v>4</v>
      </c>
      <c r="K242" t="str">
        <f>TEXT(tbl_RawSales[[#This Row],[Order Date]],"mmm")</f>
        <v>Sept</v>
      </c>
      <c r="L242">
        <f>MONTH(tbl_RawSales[[#This Row],[Order Date]])</f>
        <v>9</v>
      </c>
      <c r="M242" t="str">
        <f>TEXT(tbl_RawSales[[#This Row],[Order Date]],"ddd")</f>
        <v>Wed</v>
      </c>
      <c r="N242">
        <f>WEEKDAY(tbl_RawSales[[#This Row],[Order Date]],2)</f>
        <v>3</v>
      </c>
    </row>
    <row r="243" spans="1:14" x14ac:dyDescent="0.25">
      <c r="A243" t="s">
        <v>293</v>
      </c>
      <c r="B243" s="20">
        <v>45583</v>
      </c>
      <c r="C243" t="s">
        <v>16</v>
      </c>
      <c r="D243" t="s">
        <v>17</v>
      </c>
      <c r="E243" t="s">
        <v>66</v>
      </c>
      <c r="F243" t="s">
        <v>67</v>
      </c>
      <c r="G243">
        <v>1</v>
      </c>
      <c r="H243" s="1">
        <v>7.99</v>
      </c>
      <c r="I243" s="1">
        <v>7.99</v>
      </c>
      <c r="J243">
        <v>5</v>
      </c>
      <c r="K243" t="str">
        <f>TEXT(tbl_RawSales[[#This Row],[Order Date]],"mmm")</f>
        <v>Oct</v>
      </c>
      <c r="L243">
        <f>MONTH(tbl_RawSales[[#This Row],[Order Date]])</f>
        <v>10</v>
      </c>
      <c r="M243" t="str">
        <f>TEXT(tbl_RawSales[[#This Row],[Order Date]],"ddd")</f>
        <v>Fri</v>
      </c>
      <c r="N243">
        <f>WEEKDAY(tbl_RawSales[[#This Row],[Order Date]],2)</f>
        <v>5</v>
      </c>
    </row>
    <row r="244" spans="1:14" x14ac:dyDescent="0.25">
      <c r="A244" t="s">
        <v>294</v>
      </c>
      <c r="B244" s="20">
        <v>45612</v>
      </c>
      <c r="C244" t="s">
        <v>16</v>
      </c>
      <c r="D244" t="s">
        <v>29</v>
      </c>
      <c r="E244" t="s">
        <v>55</v>
      </c>
      <c r="F244" t="s">
        <v>23</v>
      </c>
      <c r="G244">
        <v>1</v>
      </c>
      <c r="H244" s="1">
        <v>10.99</v>
      </c>
      <c r="I244" s="1">
        <v>10.99</v>
      </c>
      <c r="J244">
        <v>5</v>
      </c>
      <c r="K244" t="str">
        <f>TEXT(tbl_RawSales[[#This Row],[Order Date]],"mmm")</f>
        <v>Nov</v>
      </c>
      <c r="L244">
        <f>MONTH(tbl_RawSales[[#This Row],[Order Date]])</f>
        <v>11</v>
      </c>
      <c r="M244" t="str">
        <f>TEXT(tbl_RawSales[[#This Row],[Order Date]],"ddd")</f>
        <v>Sat</v>
      </c>
      <c r="N244">
        <f>WEEKDAY(tbl_RawSales[[#This Row],[Order Date]],2)</f>
        <v>6</v>
      </c>
    </row>
    <row r="245" spans="1:14" x14ac:dyDescent="0.25">
      <c r="A245" t="s">
        <v>295</v>
      </c>
      <c r="B245" s="20">
        <v>45343</v>
      </c>
      <c r="C245" t="s">
        <v>45</v>
      </c>
      <c r="D245" t="s">
        <v>29</v>
      </c>
      <c r="E245" t="s">
        <v>142</v>
      </c>
      <c r="F245" t="s">
        <v>23</v>
      </c>
      <c r="G245">
        <v>2</v>
      </c>
      <c r="H245" s="1">
        <v>14.99</v>
      </c>
      <c r="I245" s="1">
        <v>29.98</v>
      </c>
      <c r="J245">
        <v>2</v>
      </c>
      <c r="K245" t="str">
        <f>TEXT(tbl_RawSales[[#This Row],[Order Date]],"mmm")</f>
        <v>Feb</v>
      </c>
      <c r="L245">
        <f>MONTH(tbl_RawSales[[#This Row],[Order Date]])</f>
        <v>2</v>
      </c>
      <c r="M245" t="str">
        <f>TEXT(tbl_RawSales[[#This Row],[Order Date]],"ddd")</f>
        <v>Wed</v>
      </c>
      <c r="N245">
        <f>WEEKDAY(tbl_RawSales[[#This Row],[Order Date]],2)</f>
        <v>3</v>
      </c>
    </row>
    <row r="246" spans="1:14" x14ac:dyDescent="0.25">
      <c r="A246" t="s">
        <v>296</v>
      </c>
      <c r="B246" s="20">
        <v>45320</v>
      </c>
      <c r="C246" t="s">
        <v>97</v>
      </c>
      <c r="D246" t="s">
        <v>12</v>
      </c>
      <c r="E246" t="s">
        <v>83</v>
      </c>
      <c r="F246" t="s">
        <v>14</v>
      </c>
      <c r="G246">
        <v>3</v>
      </c>
      <c r="H246" s="1">
        <v>17.989999999999998</v>
      </c>
      <c r="I246" s="1">
        <v>53.97</v>
      </c>
      <c r="J246">
        <v>3</v>
      </c>
      <c r="K246" t="str">
        <f>TEXT(tbl_RawSales[[#This Row],[Order Date]],"mmm")</f>
        <v>Jan</v>
      </c>
      <c r="L246">
        <f>MONTH(tbl_RawSales[[#This Row],[Order Date]])</f>
        <v>1</v>
      </c>
      <c r="M246" t="str">
        <f>TEXT(tbl_RawSales[[#This Row],[Order Date]],"ddd")</f>
        <v>Mon</v>
      </c>
      <c r="N246">
        <f>WEEKDAY(tbl_RawSales[[#This Row],[Order Date]],2)</f>
        <v>1</v>
      </c>
    </row>
    <row r="247" spans="1:14" x14ac:dyDescent="0.25">
      <c r="A247" t="s">
        <v>297</v>
      </c>
      <c r="B247" s="20">
        <v>45493</v>
      </c>
      <c r="C247" t="s">
        <v>32</v>
      </c>
      <c r="D247" t="s">
        <v>12</v>
      </c>
      <c r="E247" t="s">
        <v>50</v>
      </c>
      <c r="F247" t="s">
        <v>14</v>
      </c>
      <c r="G247">
        <v>1</v>
      </c>
      <c r="H247" s="1">
        <v>22.99</v>
      </c>
      <c r="I247" s="1">
        <v>22.99</v>
      </c>
      <c r="J247">
        <v>4</v>
      </c>
      <c r="K247" t="str">
        <f>TEXT(tbl_RawSales[[#This Row],[Order Date]],"mmm")</f>
        <v>Jul</v>
      </c>
      <c r="L247">
        <f>MONTH(tbl_RawSales[[#This Row],[Order Date]])</f>
        <v>7</v>
      </c>
      <c r="M247" t="str">
        <f>TEXT(tbl_RawSales[[#This Row],[Order Date]],"ddd")</f>
        <v>Sat</v>
      </c>
      <c r="N247">
        <f>WEEKDAY(tbl_RawSales[[#This Row],[Order Date]],2)</f>
        <v>6</v>
      </c>
    </row>
    <row r="248" spans="1:14" x14ac:dyDescent="0.25">
      <c r="A248" t="s">
        <v>298</v>
      </c>
      <c r="B248" s="20">
        <v>45977</v>
      </c>
      <c r="C248" t="s">
        <v>97</v>
      </c>
      <c r="D248" t="s">
        <v>29</v>
      </c>
      <c r="E248" t="s">
        <v>43</v>
      </c>
      <c r="F248" t="s">
        <v>23</v>
      </c>
      <c r="G248">
        <v>2</v>
      </c>
      <c r="H248" s="1">
        <v>11.99</v>
      </c>
      <c r="I248" s="1">
        <v>23.98</v>
      </c>
      <c r="J248">
        <v>4</v>
      </c>
      <c r="K248" t="str">
        <f>TEXT(tbl_RawSales[[#This Row],[Order Date]],"mmm")</f>
        <v>Nov</v>
      </c>
      <c r="L248">
        <f>MONTH(tbl_RawSales[[#This Row],[Order Date]])</f>
        <v>11</v>
      </c>
      <c r="M248" t="str">
        <f>TEXT(tbl_RawSales[[#This Row],[Order Date]],"ddd")</f>
        <v>Sun</v>
      </c>
      <c r="N248">
        <f>WEEKDAY(tbl_RawSales[[#This Row],[Order Date]],2)</f>
        <v>7</v>
      </c>
    </row>
    <row r="249" spans="1:14" x14ac:dyDescent="0.25">
      <c r="A249" t="s">
        <v>299</v>
      </c>
      <c r="B249" s="20">
        <v>45990</v>
      </c>
      <c r="C249" t="s">
        <v>25</v>
      </c>
      <c r="D249" t="s">
        <v>12</v>
      </c>
      <c r="E249" t="s">
        <v>62</v>
      </c>
      <c r="F249" t="s">
        <v>23</v>
      </c>
      <c r="G249">
        <v>3</v>
      </c>
      <c r="H249" s="1">
        <v>9.99</v>
      </c>
      <c r="I249" s="1">
        <v>29.97</v>
      </c>
      <c r="J249">
        <v>3</v>
      </c>
      <c r="K249" t="str">
        <f>TEXT(tbl_RawSales[[#This Row],[Order Date]],"mmm")</f>
        <v>Nov</v>
      </c>
      <c r="L249">
        <f>MONTH(tbl_RawSales[[#This Row],[Order Date]])</f>
        <v>11</v>
      </c>
      <c r="M249" t="str">
        <f>TEXT(tbl_RawSales[[#This Row],[Order Date]],"ddd")</f>
        <v>Sat</v>
      </c>
      <c r="N249">
        <f>WEEKDAY(tbl_RawSales[[#This Row],[Order Date]],2)</f>
        <v>6</v>
      </c>
    </row>
    <row r="250" spans="1:14" x14ac:dyDescent="0.25">
      <c r="A250" t="s">
        <v>300</v>
      </c>
      <c r="B250" s="20">
        <v>46010</v>
      </c>
      <c r="C250" t="s">
        <v>34</v>
      </c>
      <c r="D250" t="s">
        <v>12</v>
      </c>
      <c r="E250" t="s">
        <v>221</v>
      </c>
      <c r="F250" t="s">
        <v>67</v>
      </c>
      <c r="G250">
        <v>1</v>
      </c>
      <c r="H250" s="1">
        <v>9.99</v>
      </c>
      <c r="I250" s="1">
        <v>9.99</v>
      </c>
      <c r="J250">
        <v>5</v>
      </c>
      <c r="K250" t="str">
        <f>TEXT(tbl_RawSales[[#This Row],[Order Date]],"mmm")</f>
        <v>Dec</v>
      </c>
      <c r="L250">
        <f>MONTH(tbl_RawSales[[#This Row],[Order Date]])</f>
        <v>12</v>
      </c>
      <c r="M250" t="str">
        <f>TEXT(tbl_RawSales[[#This Row],[Order Date]],"ddd")</f>
        <v>Fri</v>
      </c>
      <c r="N250">
        <f>WEEKDAY(tbl_RawSales[[#This Row],[Order Date]],2)</f>
        <v>5</v>
      </c>
    </row>
    <row r="251" spans="1:14" x14ac:dyDescent="0.25">
      <c r="A251" t="s">
        <v>301</v>
      </c>
      <c r="B251" s="20">
        <v>45359</v>
      </c>
      <c r="C251" t="s">
        <v>32</v>
      </c>
      <c r="D251" t="s">
        <v>12</v>
      </c>
      <c r="E251" t="s">
        <v>46</v>
      </c>
      <c r="F251" t="s">
        <v>14</v>
      </c>
      <c r="G251">
        <v>1</v>
      </c>
      <c r="H251" s="1">
        <v>32.99</v>
      </c>
      <c r="I251" s="1">
        <v>32.99</v>
      </c>
      <c r="J251">
        <v>4</v>
      </c>
      <c r="K251" t="str">
        <f>TEXT(tbl_RawSales[[#This Row],[Order Date]],"mmm")</f>
        <v>Mar</v>
      </c>
      <c r="L251">
        <f>MONTH(tbl_RawSales[[#This Row],[Order Date]])</f>
        <v>3</v>
      </c>
      <c r="M251" t="str">
        <f>TEXT(tbl_RawSales[[#This Row],[Order Date]],"ddd")</f>
        <v>Fri</v>
      </c>
      <c r="N251">
        <f>WEEKDAY(tbl_RawSales[[#This Row],[Order Date]],2)</f>
        <v>5</v>
      </c>
    </row>
    <row r="252" spans="1:14" x14ac:dyDescent="0.25">
      <c r="A252" t="s">
        <v>302</v>
      </c>
      <c r="B252" s="20">
        <v>45490</v>
      </c>
      <c r="C252" t="s">
        <v>21</v>
      </c>
      <c r="D252" t="s">
        <v>17</v>
      </c>
      <c r="E252" t="s">
        <v>176</v>
      </c>
      <c r="F252" t="s">
        <v>67</v>
      </c>
      <c r="G252">
        <v>2</v>
      </c>
      <c r="H252" s="1">
        <v>11.99</v>
      </c>
      <c r="I252" s="1">
        <v>23.98</v>
      </c>
      <c r="J252">
        <v>4</v>
      </c>
      <c r="K252" t="str">
        <f>TEXT(tbl_RawSales[[#This Row],[Order Date]],"mmm")</f>
        <v>Jul</v>
      </c>
      <c r="L252">
        <f>MONTH(tbl_RawSales[[#This Row],[Order Date]])</f>
        <v>7</v>
      </c>
      <c r="M252" t="str">
        <f>TEXT(tbl_RawSales[[#This Row],[Order Date]],"ddd")</f>
        <v>Wed</v>
      </c>
      <c r="N252">
        <f>WEEKDAY(tbl_RawSales[[#This Row],[Order Date]],2)</f>
        <v>3</v>
      </c>
    </row>
    <row r="253" spans="1:14" x14ac:dyDescent="0.25">
      <c r="A253" t="s">
        <v>303</v>
      </c>
      <c r="B253" s="20">
        <v>45960</v>
      </c>
      <c r="C253" t="s">
        <v>34</v>
      </c>
      <c r="D253" t="s">
        <v>17</v>
      </c>
      <c r="E253" t="s">
        <v>55</v>
      </c>
      <c r="F253" t="s">
        <v>23</v>
      </c>
      <c r="G253">
        <v>2</v>
      </c>
      <c r="H253" s="1">
        <v>10.99</v>
      </c>
      <c r="I253" s="1">
        <v>21.98</v>
      </c>
      <c r="J253">
        <v>4</v>
      </c>
      <c r="K253" t="str">
        <f>TEXT(tbl_RawSales[[#This Row],[Order Date]],"mmm")</f>
        <v>Oct</v>
      </c>
      <c r="L253">
        <f>MONTH(tbl_RawSales[[#This Row],[Order Date]])</f>
        <v>10</v>
      </c>
      <c r="M253" t="str">
        <f>TEXT(tbl_RawSales[[#This Row],[Order Date]],"ddd")</f>
        <v>Thu</v>
      </c>
      <c r="N253">
        <f>WEEKDAY(tbl_RawSales[[#This Row],[Order Date]],2)</f>
        <v>4</v>
      </c>
    </row>
    <row r="254" spans="1:14" x14ac:dyDescent="0.25">
      <c r="A254" t="s">
        <v>304</v>
      </c>
      <c r="B254" s="20">
        <v>45469</v>
      </c>
      <c r="C254" t="s">
        <v>45</v>
      </c>
      <c r="D254" t="s">
        <v>12</v>
      </c>
      <c r="E254" t="s">
        <v>22</v>
      </c>
      <c r="F254" t="s">
        <v>23</v>
      </c>
      <c r="G254">
        <v>1</v>
      </c>
      <c r="H254" s="1">
        <v>8.99</v>
      </c>
      <c r="I254" s="1">
        <v>8.99</v>
      </c>
      <c r="J254">
        <v>4</v>
      </c>
      <c r="K254" t="str">
        <f>TEXT(tbl_RawSales[[#This Row],[Order Date]],"mmm")</f>
        <v>Jun</v>
      </c>
      <c r="L254">
        <f>MONTH(tbl_RawSales[[#This Row],[Order Date]])</f>
        <v>6</v>
      </c>
      <c r="M254" t="str">
        <f>TEXT(tbl_RawSales[[#This Row],[Order Date]],"ddd")</f>
        <v>Wed</v>
      </c>
      <c r="N254">
        <f>WEEKDAY(tbl_RawSales[[#This Row],[Order Date]],2)</f>
        <v>3</v>
      </c>
    </row>
    <row r="255" spans="1:14" x14ac:dyDescent="0.25">
      <c r="A255" t="s">
        <v>305</v>
      </c>
      <c r="B255" s="20">
        <v>45653</v>
      </c>
      <c r="C255" t="s">
        <v>11</v>
      </c>
      <c r="D255" t="s">
        <v>29</v>
      </c>
      <c r="E255" t="s">
        <v>57</v>
      </c>
      <c r="F255" t="s">
        <v>14</v>
      </c>
      <c r="G255">
        <v>2</v>
      </c>
      <c r="H255" s="1">
        <v>15.99</v>
      </c>
      <c r="I255" s="1">
        <v>31.98</v>
      </c>
      <c r="J255">
        <v>5</v>
      </c>
      <c r="K255" t="str">
        <f>TEXT(tbl_RawSales[[#This Row],[Order Date]],"mmm")</f>
        <v>Dec</v>
      </c>
      <c r="L255">
        <f>MONTH(tbl_RawSales[[#This Row],[Order Date]])</f>
        <v>12</v>
      </c>
      <c r="M255" t="str">
        <f>TEXT(tbl_RawSales[[#This Row],[Order Date]],"ddd")</f>
        <v>Fri</v>
      </c>
      <c r="N255">
        <f>WEEKDAY(tbl_RawSales[[#This Row],[Order Date]],2)</f>
        <v>5</v>
      </c>
    </row>
    <row r="256" spans="1:14" x14ac:dyDescent="0.25">
      <c r="A256" t="s">
        <v>306</v>
      </c>
      <c r="B256" s="20">
        <v>45830</v>
      </c>
      <c r="C256" t="s">
        <v>11</v>
      </c>
      <c r="D256" t="s">
        <v>12</v>
      </c>
      <c r="E256" t="s">
        <v>112</v>
      </c>
      <c r="F256" t="s">
        <v>19</v>
      </c>
      <c r="G256">
        <v>1</v>
      </c>
      <c r="H256" s="1">
        <v>5.99</v>
      </c>
      <c r="I256" s="1">
        <v>5.99</v>
      </c>
      <c r="J256">
        <v>5</v>
      </c>
      <c r="K256" t="str">
        <f>TEXT(tbl_RawSales[[#This Row],[Order Date]],"mmm")</f>
        <v>Jun</v>
      </c>
      <c r="L256">
        <f>MONTH(tbl_RawSales[[#This Row],[Order Date]])</f>
        <v>6</v>
      </c>
      <c r="M256" t="str">
        <f>TEXT(tbl_RawSales[[#This Row],[Order Date]],"ddd")</f>
        <v>Sun</v>
      </c>
      <c r="N256">
        <f>WEEKDAY(tbl_RawSales[[#This Row],[Order Date]],2)</f>
        <v>7</v>
      </c>
    </row>
    <row r="257" spans="1:14" x14ac:dyDescent="0.25">
      <c r="A257" t="s">
        <v>307</v>
      </c>
      <c r="B257" s="20">
        <v>45940</v>
      </c>
      <c r="C257" t="s">
        <v>28</v>
      </c>
      <c r="D257" t="s">
        <v>12</v>
      </c>
      <c r="E257" t="s">
        <v>79</v>
      </c>
      <c r="F257" t="s">
        <v>67</v>
      </c>
      <c r="G257">
        <v>3</v>
      </c>
      <c r="H257" s="1">
        <v>10.99</v>
      </c>
      <c r="I257" s="1">
        <v>32.97</v>
      </c>
      <c r="J257">
        <v>3</v>
      </c>
      <c r="K257" t="str">
        <f>TEXT(tbl_RawSales[[#This Row],[Order Date]],"mmm")</f>
        <v>Oct</v>
      </c>
      <c r="L257">
        <f>MONTH(tbl_RawSales[[#This Row],[Order Date]])</f>
        <v>10</v>
      </c>
      <c r="M257" t="str">
        <f>TEXT(tbl_RawSales[[#This Row],[Order Date]],"ddd")</f>
        <v>Fri</v>
      </c>
      <c r="N257">
        <f>WEEKDAY(tbl_RawSales[[#This Row],[Order Date]],2)</f>
        <v>5</v>
      </c>
    </row>
    <row r="258" spans="1:14" x14ac:dyDescent="0.25">
      <c r="A258" t="s">
        <v>308</v>
      </c>
      <c r="B258" s="20">
        <v>45626</v>
      </c>
      <c r="C258" t="s">
        <v>34</v>
      </c>
      <c r="D258" t="s">
        <v>12</v>
      </c>
      <c r="E258" t="s">
        <v>36</v>
      </c>
      <c r="F258" t="s">
        <v>14</v>
      </c>
      <c r="G258">
        <v>2</v>
      </c>
      <c r="H258" s="1">
        <v>16.989999999999998</v>
      </c>
      <c r="I258" s="1">
        <v>33.979999999999997</v>
      </c>
      <c r="J258">
        <v>4</v>
      </c>
      <c r="K258" t="str">
        <f>TEXT(tbl_RawSales[[#This Row],[Order Date]],"mmm")</f>
        <v>Nov</v>
      </c>
      <c r="L258">
        <f>MONTH(tbl_RawSales[[#This Row],[Order Date]])</f>
        <v>11</v>
      </c>
      <c r="M258" t="str">
        <f>TEXT(tbl_RawSales[[#This Row],[Order Date]],"ddd")</f>
        <v>Sat</v>
      </c>
      <c r="N258">
        <f>WEEKDAY(tbl_RawSales[[#This Row],[Order Date]],2)</f>
        <v>6</v>
      </c>
    </row>
    <row r="259" spans="1:14" x14ac:dyDescent="0.25">
      <c r="A259" t="s">
        <v>309</v>
      </c>
      <c r="B259" s="20">
        <v>45401</v>
      </c>
      <c r="C259" t="s">
        <v>38</v>
      </c>
      <c r="D259" t="s">
        <v>29</v>
      </c>
      <c r="E259" t="s">
        <v>52</v>
      </c>
      <c r="F259" t="s">
        <v>19</v>
      </c>
      <c r="G259">
        <v>2</v>
      </c>
      <c r="H259" s="1">
        <v>6.99</v>
      </c>
      <c r="I259" s="1">
        <v>13.98</v>
      </c>
      <c r="J259">
        <v>5</v>
      </c>
      <c r="K259" t="str">
        <f>TEXT(tbl_RawSales[[#This Row],[Order Date]],"mmm")</f>
        <v>Apr</v>
      </c>
      <c r="L259">
        <f>MONTH(tbl_RawSales[[#This Row],[Order Date]])</f>
        <v>4</v>
      </c>
      <c r="M259" t="str">
        <f>TEXT(tbl_RawSales[[#This Row],[Order Date]],"ddd")</f>
        <v>Fri</v>
      </c>
      <c r="N259">
        <f>WEEKDAY(tbl_RawSales[[#This Row],[Order Date]],2)</f>
        <v>5</v>
      </c>
    </row>
    <row r="260" spans="1:14" x14ac:dyDescent="0.25">
      <c r="A260" t="s">
        <v>310</v>
      </c>
      <c r="B260" s="20">
        <v>45698</v>
      </c>
      <c r="C260" t="s">
        <v>97</v>
      </c>
      <c r="D260" t="s">
        <v>12</v>
      </c>
      <c r="E260" t="s">
        <v>36</v>
      </c>
      <c r="F260" t="s">
        <v>14</v>
      </c>
      <c r="G260">
        <v>3</v>
      </c>
      <c r="H260" s="1">
        <v>16.989999999999998</v>
      </c>
      <c r="I260" s="1">
        <v>50.97</v>
      </c>
      <c r="J260">
        <v>5</v>
      </c>
      <c r="K260" t="str">
        <f>TEXT(tbl_RawSales[[#This Row],[Order Date]],"mmm")</f>
        <v>Feb</v>
      </c>
      <c r="L260">
        <f>MONTH(tbl_RawSales[[#This Row],[Order Date]])</f>
        <v>2</v>
      </c>
      <c r="M260" t="str">
        <f>TEXT(tbl_RawSales[[#This Row],[Order Date]],"ddd")</f>
        <v>Mon</v>
      </c>
      <c r="N260">
        <f>WEEKDAY(tbl_RawSales[[#This Row],[Order Date]],2)</f>
        <v>1</v>
      </c>
    </row>
    <row r="261" spans="1:14" x14ac:dyDescent="0.25">
      <c r="A261" t="s">
        <v>311</v>
      </c>
      <c r="B261" s="20">
        <v>45374</v>
      </c>
      <c r="C261" t="s">
        <v>45</v>
      </c>
      <c r="D261" t="s">
        <v>29</v>
      </c>
      <c r="E261" t="s">
        <v>30</v>
      </c>
      <c r="F261" t="s">
        <v>19</v>
      </c>
      <c r="G261">
        <v>1</v>
      </c>
      <c r="H261" s="1">
        <v>7.99</v>
      </c>
      <c r="I261" s="1">
        <v>7.99</v>
      </c>
      <c r="J261">
        <v>4</v>
      </c>
      <c r="K261" t="str">
        <f>TEXT(tbl_RawSales[[#This Row],[Order Date]],"mmm")</f>
        <v>Mar</v>
      </c>
      <c r="L261">
        <f>MONTH(tbl_RawSales[[#This Row],[Order Date]])</f>
        <v>3</v>
      </c>
      <c r="M261" t="str">
        <f>TEXT(tbl_RawSales[[#This Row],[Order Date]],"ddd")</f>
        <v>Sat</v>
      </c>
      <c r="N261">
        <f>WEEKDAY(tbl_RawSales[[#This Row],[Order Date]],2)</f>
        <v>6</v>
      </c>
    </row>
    <row r="262" spans="1:14" x14ac:dyDescent="0.25">
      <c r="A262" t="s">
        <v>312</v>
      </c>
      <c r="B262" s="20">
        <v>45524</v>
      </c>
      <c r="C262" t="s">
        <v>97</v>
      </c>
      <c r="D262" t="s">
        <v>29</v>
      </c>
      <c r="E262" t="s">
        <v>176</v>
      </c>
      <c r="F262" t="s">
        <v>67</v>
      </c>
      <c r="G262">
        <v>2</v>
      </c>
      <c r="H262" s="1">
        <v>11.99</v>
      </c>
      <c r="I262" s="1">
        <v>23.98</v>
      </c>
      <c r="J262">
        <v>4</v>
      </c>
      <c r="K262" t="str">
        <f>TEXT(tbl_RawSales[[#This Row],[Order Date]],"mmm")</f>
        <v>Aug</v>
      </c>
      <c r="L262">
        <f>MONTH(tbl_RawSales[[#This Row],[Order Date]])</f>
        <v>8</v>
      </c>
      <c r="M262" t="str">
        <f>TEXT(tbl_RawSales[[#This Row],[Order Date]],"ddd")</f>
        <v>Tue</v>
      </c>
      <c r="N262">
        <f>WEEKDAY(tbl_RawSales[[#This Row],[Order Date]],2)</f>
        <v>2</v>
      </c>
    </row>
    <row r="263" spans="1:14" x14ac:dyDescent="0.25">
      <c r="A263" t="s">
        <v>313</v>
      </c>
      <c r="B263" s="20">
        <v>45697</v>
      </c>
      <c r="C263" t="s">
        <v>28</v>
      </c>
      <c r="D263" t="s">
        <v>17</v>
      </c>
      <c r="E263" t="s">
        <v>36</v>
      </c>
      <c r="F263" t="s">
        <v>14</v>
      </c>
      <c r="G263">
        <v>1</v>
      </c>
      <c r="H263" s="1">
        <v>16.989999999999998</v>
      </c>
      <c r="I263" s="1">
        <v>16.989999999999998</v>
      </c>
      <c r="J263">
        <v>5</v>
      </c>
      <c r="K263" t="str">
        <f>TEXT(tbl_RawSales[[#This Row],[Order Date]],"mmm")</f>
        <v>Feb</v>
      </c>
      <c r="L263">
        <f>MONTH(tbl_RawSales[[#This Row],[Order Date]])</f>
        <v>2</v>
      </c>
      <c r="M263" t="str">
        <f>TEXT(tbl_RawSales[[#This Row],[Order Date]],"ddd")</f>
        <v>Sun</v>
      </c>
      <c r="N263">
        <f>WEEKDAY(tbl_RawSales[[#This Row],[Order Date]],2)</f>
        <v>7</v>
      </c>
    </row>
    <row r="264" spans="1:14" x14ac:dyDescent="0.25">
      <c r="A264" t="s">
        <v>314</v>
      </c>
      <c r="B264" s="20">
        <v>45405</v>
      </c>
      <c r="C264" t="s">
        <v>28</v>
      </c>
      <c r="D264" t="s">
        <v>29</v>
      </c>
      <c r="E264" t="s">
        <v>79</v>
      </c>
      <c r="F264" t="s">
        <v>67</v>
      </c>
      <c r="G264">
        <v>1</v>
      </c>
      <c r="H264" s="1">
        <v>10.99</v>
      </c>
      <c r="I264" s="1">
        <v>10.99</v>
      </c>
      <c r="J264">
        <v>3</v>
      </c>
      <c r="K264" t="str">
        <f>TEXT(tbl_RawSales[[#This Row],[Order Date]],"mmm")</f>
        <v>Apr</v>
      </c>
      <c r="L264">
        <f>MONTH(tbl_RawSales[[#This Row],[Order Date]])</f>
        <v>4</v>
      </c>
      <c r="M264" t="str">
        <f>TEXT(tbl_RawSales[[#This Row],[Order Date]],"ddd")</f>
        <v>Tue</v>
      </c>
      <c r="N264">
        <f>WEEKDAY(tbl_RawSales[[#This Row],[Order Date]],2)</f>
        <v>2</v>
      </c>
    </row>
    <row r="265" spans="1:14" x14ac:dyDescent="0.25">
      <c r="A265" t="s">
        <v>315</v>
      </c>
      <c r="B265" s="20">
        <v>45586</v>
      </c>
      <c r="C265" t="s">
        <v>28</v>
      </c>
      <c r="D265" t="s">
        <v>29</v>
      </c>
      <c r="E265" t="s">
        <v>30</v>
      </c>
      <c r="F265" t="s">
        <v>19</v>
      </c>
      <c r="G265">
        <v>3</v>
      </c>
      <c r="H265" s="1">
        <v>7.99</v>
      </c>
      <c r="I265" s="1">
        <v>23.97</v>
      </c>
      <c r="J265">
        <v>5</v>
      </c>
      <c r="K265" t="str">
        <f>TEXT(tbl_RawSales[[#This Row],[Order Date]],"mmm")</f>
        <v>Oct</v>
      </c>
      <c r="L265">
        <f>MONTH(tbl_RawSales[[#This Row],[Order Date]])</f>
        <v>10</v>
      </c>
      <c r="M265" t="str">
        <f>TEXT(tbl_RawSales[[#This Row],[Order Date]],"ddd")</f>
        <v>Mon</v>
      </c>
      <c r="N265">
        <f>WEEKDAY(tbl_RawSales[[#This Row],[Order Date]],2)</f>
        <v>1</v>
      </c>
    </row>
    <row r="266" spans="1:14" x14ac:dyDescent="0.25">
      <c r="A266" t="s">
        <v>316</v>
      </c>
      <c r="B266" s="20">
        <v>45604</v>
      </c>
      <c r="C266" t="s">
        <v>38</v>
      </c>
      <c r="D266" t="s">
        <v>12</v>
      </c>
      <c r="E266" t="s">
        <v>18</v>
      </c>
      <c r="F266" t="s">
        <v>19</v>
      </c>
      <c r="G266">
        <v>1</v>
      </c>
      <c r="H266" s="1">
        <v>9.99</v>
      </c>
      <c r="I266" s="1">
        <v>9.99</v>
      </c>
      <c r="J266">
        <v>3</v>
      </c>
      <c r="K266" t="str">
        <f>TEXT(tbl_RawSales[[#This Row],[Order Date]],"mmm")</f>
        <v>Nov</v>
      </c>
      <c r="L266">
        <f>MONTH(tbl_RawSales[[#This Row],[Order Date]])</f>
        <v>11</v>
      </c>
      <c r="M266" t="str">
        <f>TEXT(tbl_RawSales[[#This Row],[Order Date]],"ddd")</f>
        <v>Fri</v>
      </c>
      <c r="N266">
        <f>WEEKDAY(tbl_RawSales[[#This Row],[Order Date]],2)</f>
        <v>5</v>
      </c>
    </row>
    <row r="267" spans="1:14" x14ac:dyDescent="0.25">
      <c r="A267" t="s">
        <v>317</v>
      </c>
      <c r="B267" s="20">
        <v>45835</v>
      </c>
      <c r="C267" t="s">
        <v>25</v>
      </c>
      <c r="D267" t="s">
        <v>12</v>
      </c>
      <c r="E267" t="s">
        <v>13</v>
      </c>
      <c r="F267" t="s">
        <v>14</v>
      </c>
      <c r="G267">
        <v>1</v>
      </c>
      <c r="H267" s="1">
        <v>18.989999999999998</v>
      </c>
      <c r="I267" s="1">
        <v>18.989999999999998</v>
      </c>
      <c r="J267">
        <v>5</v>
      </c>
      <c r="K267" t="str">
        <f>TEXT(tbl_RawSales[[#This Row],[Order Date]],"mmm")</f>
        <v>Jun</v>
      </c>
      <c r="L267">
        <f>MONTH(tbl_RawSales[[#This Row],[Order Date]])</f>
        <v>6</v>
      </c>
      <c r="M267" t="str">
        <f>TEXT(tbl_RawSales[[#This Row],[Order Date]],"ddd")</f>
        <v>Fri</v>
      </c>
      <c r="N267">
        <f>WEEKDAY(tbl_RawSales[[#This Row],[Order Date]],2)</f>
        <v>5</v>
      </c>
    </row>
    <row r="268" spans="1:14" x14ac:dyDescent="0.25">
      <c r="A268" t="s">
        <v>318</v>
      </c>
      <c r="B268" s="20">
        <v>45939</v>
      </c>
      <c r="C268" t="s">
        <v>38</v>
      </c>
      <c r="D268" t="s">
        <v>17</v>
      </c>
      <c r="E268" t="s">
        <v>74</v>
      </c>
      <c r="F268" t="s">
        <v>14</v>
      </c>
      <c r="G268">
        <v>1</v>
      </c>
      <c r="H268" s="1">
        <v>14.99</v>
      </c>
      <c r="I268" s="1">
        <v>14.99</v>
      </c>
      <c r="J268">
        <v>5</v>
      </c>
      <c r="K268" t="str">
        <f>TEXT(tbl_RawSales[[#This Row],[Order Date]],"mmm")</f>
        <v>Oct</v>
      </c>
      <c r="L268">
        <f>MONTH(tbl_RawSales[[#This Row],[Order Date]])</f>
        <v>10</v>
      </c>
      <c r="M268" t="str">
        <f>TEXT(tbl_RawSales[[#This Row],[Order Date]],"ddd")</f>
        <v>Thu</v>
      </c>
      <c r="N268">
        <f>WEEKDAY(tbl_RawSales[[#This Row],[Order Date]],2)</f>
        <v>4</v>
      </c>
    </row>
    <row r="269" spans="1:14" x14ac:dyDescent="0.25">
      <c r="A269" t="s">
        <v>319</v>
      </c>
      <c r="B269" s="20">
        <v>45975</v>
      </c>
      <c r="C269" t="s">
        <v>16</v>
      </c>
      <c r="D269" t="s">
        <v>29</v>
      </c>
      <c r="E269" t="s">
        <v>30</v>
      </c>
      <c r="F269" t="s">
        <v>19</v>
      </c>
      <c r="G269">
        <v>4</v>
      </c>
      <c r="H269" s="1">
        <v>7.99</v>
      </c>
      <c r="I269" s="1">
        <v>31.96</v>
      </c>
      <c r="J269">
        <v>4</v>
      </c>
      <c r="K269" t="str">
        <f>TEXT(tbl_RawSales[[#This Row],[Order Date]],"mmm")</f>
        <v>Nov</v>
      </c>
      <c r="L269">
        <f>MONTH(tbl_RawSales[[#This Row],[Order Date]])</f>
        <v>11</v>
      </c>
      <c r="M269" t="str">
        <f>TEXT(tbl_RawSales[[#This Row],[Order Date]],"ddd")</f>
        <v>Fri</v>
      </c>
      <c r="N269">
        <f>WEEKDAY(tbl_RawSales[[#This Row],[Order Date]],2)</f>
        <v>5</v>
      </c>
    </row>
    <row r="270" spans="1:14" x14ac:dyDescent="0.25">
      <c r="A270" t="s">
        <v>320</v>
      </c>
      <c r="B270" s="20">
        <v>45661</v>
      </c>
      <c r="C270" t="s">
        <v>25</v>
      </c>
      <c r="D270" t="s">
        <v>17</v>
      </c>
      <c r="E270" t="s">
        <v>221</v>
      </c>
      <c r="F270" t="s">
        <v>67</v>
      </c>
      <c r="G270">
        <v>4</v>
      </c>
      <c r="H270" s="1">
        <v>9.99</v>
      </c>
      <c r="I270" s="1">
        <v>39.96</v>
      </c>
      <c r="J270">
        <v>4</v>
      </c>
      <c r="K270" t="str">
        <f>TEXT(tbl_RawSales[[#This Row],[Order Date]],"mmm")</f>
        <v>Jan</v>
      </c>
      <c r="L270">
        <f>MONTH(tbl_RawSales[[#This Row],[Order Date]])</f>
        <v>1</v>
      </c>
      <c r="M270" t="str">
        <f>TEXT(tbl_RawSales[[#This Row],[Order Date]],"ddd")</f>
        <v>Sat</v>
      </c>
      <c r="N270">
        <f>WEEKDAY(tbl_RawSales[[#This Row],[Order Date]],2)</f>
        <v>6</v>
      </c>
    </row>
    <row r="271" spans="1:14" x14ac:dyDescent="0.25">
      <c r="A271" t="s">
        <v>321</v>
      </c>
      <c r="B271" s="20">
        <v>45942</v>
      </c>
      <c r="C271" t="s">
        <v>45</v>
      </c>
      <c r="D271" t="s">
        <v>12</v>
      </c>
      <c r="E271" t="s">
        <v>176</v>
      </c>
      <c r="F271" t="s">
        <v>67</v>
      </c>
      <c r="G271">
        <v>1</v>
      </c>
      <c r="H271" s="1">
        <v>11.99</v>
      </c>
      <c r="I271" s="1">
        <v>11.99</v>
      </c>
      <c r="J271">
        <v>3</v>
      </c>
      <c r="K271" t="str">
        <f>TEXT(tbl_RawSales[[#This Row],[Order Date]],"mmm")</f>
        <v>Oct</v>
      </c>
      <c r="L271">
        <f>MONTH(tbl_RawSales[[#This Row],[Order Date]])</f>
        <v>10</v>
      </c>
      <c r="M271" t="str">
        <f>TEXT(tbl_RawSales[[#This Row],[Order Date]],"ddd")</f>
        <v>Sun</v>
      </c>
      <c r="N271">
        <f>WEEKDAY(tbl_RawSales[[#This Row],[Order Date]],2)</f>
        <v>7</v>
      </c>
    </row>
    <row r="272" spans="1:14" x14ac:dyDescent="0.25">
      <c r="A272" t="s">
        <v>322</v>
      </c>
      <c r="B272" s="20">
        <v>45788</v>
      </c>
      <c r="C272" t="s">
        <v>32</v>
      </c>
      <c r="D272" t="s">
        <v>29</v>
      </c>
      <c r="E272" t="s">
        <v>83</v>
      </c>
      <c r="F272" t="s">
        <v>14</v>
      </c>
      <c r="G272">
        <v>2</v>
      </c>
      <c r="H272" s="1">
        <v>17.989999999999998</v>
      </c>
      <c r="I272" s="1">
        <v>35.979999999999997</v>
      </c>
      <c r="J272">
        <v>4</v>
      </c>
      <c r="K272" t="str">
        <f>TEXT(tbl_RawSales[[#This Row],[Order Date]],"mmm")</f>
        <v>May</v>
      </c>
      <c r="L272">
        <f>MONTH(tbl_RawSales[[#This Row],[Order Date]])</f>
        <v>5</v>
      </c>
      <c r="M272" t="str">
        <f>TEXT(tbl_RawSales[[#This Row],[Order Date]],"ddd")</f>
        <v>Sun</v>
      </c>
      <c r="N272">
        <f>WEEKDAY(tbl_RawSales[[#This Row],[Order Date]],2)</f>
        <v>7</v>
      </c>
    </row>
    <row r="273" spans="1:14" x14ac:dyDescent="0.25">
      <c r="A273" t="s">
        <v>323</v>
      </c>
      <c r="B273" s="20">
        <v>45864</v>
      </c>
      <c r="C273" t="s">
        <v>97</v>
      </c>
      <c r="D273" t="s">
        <v>17</v>
      </c>
      <c r="E273" t="s">
        <v>79</v>
      </c>
      <c r="F273" t="s">
        <v>67</v>
      </c>
      <c r="G273">
        <v>3</v>
      </c>
      <c r="H273" s="1">
        <v>10.99</v>
      </c>
      <c r="I273" s="1">
        <v>32.97</v>
      </c>
      <c r="J273">
        <v>4</v>
      </c>
      <c r="K273" t="str">
        <f>TEXT(tbl_RawSales[[#This Row],[Order Date]],"mmm")</f>
        <v>Jul</v>
      </c>
      <c r="L273">
        <f>MONTH(tbl_RawSales[[#This Row],[Order Date]])</f>
        <v>7</v>
      </c>
      <c r="M273" t="str">
        <f>TEXT(tbl_RawSales[[#This Row],[Order Date]],"ddd")</f>
        <v>Sat</v>
      </c>
      <c r="N273">
        <f>WEEKDAY(tbl_RawSales[[#This Row],[Order Date]],2)</f>
        <v>6</v>
      </c>
    </row>
    <row r="274" spans="1:14" x14ac:dyDescent="0.25">
      <c r="A274" t="s">
        <v>324</v>
      </c>
      <c r="B274" s="20">
        <v>45297</v>
      </c>
      <c r="C274" t="s">
        <v>32</v>
      </c>
      <c r="D274" t="s">
        <v>29</v>
      </c>
      <c r="E274" t="s">
        <v>22</v>
      </c>
      <c r="F274" t="s">
        <v>23</v>
      </c>
      <c r="G274">
        <v>2</v>
      </c>
      <c r="H274" s="1">
        <v>8.99</v>
      </c>
      <c r="I274" s="1">
        <v>17.98</v>
      </c>
      <c r="J274">
        <v>3</v>
      </c>
      <c r="K274" t="str">
        <f>TEXT(tbl_RawSales[[#This Row],[Order Date]],"mmm")</f>
        <v>Jan</v>
      </c>
      <c r="L274">
        <f>MONTH(tbl_RawSales[[#This Row],[Order Date]])</f>
        <v>1</v>
      </c>
      <c r="M274" t="str">
        <f>TEXT(tbl_RawSales[[#This Row],[Order Date]],"ddd")</f>
        <v>Sat</v>
      </c>
      <c r="N274">
        <f>WEEKDAY(tbl_RawSales[[#This Row],[Order Date]],2)</f>
        <v>6</v>
      </c>
    </row>
    <row r="275" spans="1:14" x14ac:dyDescent="0.25">
      <c r="A275" t="s">
        <v>325</v>
      </c>
      <c r="B275" s="20">
        <v>46006</v>
      </c>
      <c r="C275" t="s">
        <v>28</v>
      </c>
      <c r="D275" t="s">
        <v>29</v>
      </c>
      <c r="E275" t="s">
        <v>74</v>
      </c>
      <c r="F275" t="s">
        <v>14</v>
      </c>
      <c r="G275">
        <v>1</v>
      </c>
      <c r="H275" s="1">
        <v>14.99</v>
      </c>
      <c r="I275" s="1">
        <v>14.99</v>
      </c>
      <c r="J275">
        <v>4</v>
      </c>
      <c r="K275" t="str">
        <f>TEXT(tbl_RawSales[[#This Row],[Order Date]],"mmm")</f>
        <v>Dec</v>
      </c>
      <c r="L275">
        <f>MONTH(tbl_RawSales[[#This Row],[Order Date]])</f>
        <v>12</v>
      </c>
      <c r="M275" t="str">
        <f>TEXT(tbl_RawSales[[#This Row],[Order Date]],"ddd")</f>
        <v>Mon</v>
      </c>
      <c r="N275">
        <f>WEEKDAY(tbl_RawSales[[#This Row],[Order Date]],2)</f>
        <v>1</v>
      </c>
    </row>
    <row r="276" spans="1:14" x14ac:dyDescent="0.25">
      <c r="A276" t="s">
        <v>326</v>
      </c>
      <c r="B276" s="20">
        <v>45346</v>
      </c>
      <c r="C276" t="s">
        <v>25</v>
      </c>
      <c r="D276" t="s">
        <v>17</v>
      </c>
      <c r="E276" t="s">
        <v>13</v>
      </c>
      <c r="F276" t="s">
        <v>14</v>
      </c>
      <c r="G276">
        <v>3</v>
      </c>
      <c r="H276" s="1">
        <v>18.989999999999998</v>
      </c>
      <c r="I276" s="1">
        <v>56.97</v>
      </c>
      <c r="J276">
        <v>2</v>
      </c>
      <c r="K276" t="str">
        <f>TEXT(tbl_RawSales[[#This Row],[Order Date]],"mmm")</f>
        <v>Feb</v>
      </c>
      <c r="L276">
        <f>MONTH(tbl_RawSales[[#This Row],[Order Date]])</f>
        <v>2</v>
      </c>
      <c r="M276" t="str">
        <f>TEXT(tbl_RawSales[[#This Row],[Order Date]],"ddd")</f>
        <v>Sat</v>
      </c>
      <c r="N276">
        <f>WEEKDAY(tbl_RawSales[[#This Row],[Order Date]],2)</f>
        <v>6</v>
      </c>
    </row>
    <row r="277" spans="1:14" x14ac:dyDescent="0.25">
      <c r="A277" t="s">
        <v>327</v>
      </c>
      <c r="B277" s="20">
        <v>45752</v>
      </c>
      <c r="C277" t="s">
        <v>34</v>
      </c>
      <c r="D277" t="s">
        <v>17</v>
      </c>
      <c r="E277" t="s">
        <v>50</v>
      </c>
      <c r="F277" t="s">
        <v>14</v>
      </c>
      <c r="G277">
        <v>1</v>
      </c>
      <c r="H277" s="1">
        <v>22.99</v>
      </c>
      <c r="I277" s="1">
        <v>22.99</v>
      </c>
      <c r="J277">
        <v>4</v>
      </c>
      <c r="K277" t="str">
        <f>TEXT(tbl_RawSales[[#This Row],[Order Date]],"mmm")</f>
        <v>Apr</v>
      </c>
      <c r="L277">
        <f>MONTH(tbl_RawSales[[#This Row],[Order Date]])</f>
        <v>4</v>
      </c>
      <c r="M277" t="str">
        <f>TEXT(tbl_RawSales[[#This Row],[Order Date]],"ddd")</f>
        <v>Sat</v>
      </c>
      <c r="N277">
        <f>WEEKDAY(tbl_RawSales[[#This Row],[Order Date]],2)</f>
        <v>6</v>
      </c>
    </row>
    <row r="278" spans="1:14" x14ac:dyDescent="0.25">
      <c r="A278" t="s">
        <v>328</v>
      </c>
      <c r="B278" s="20">
        <v>45298</v>
      </c>
      <c r="C278" t="s">
        <v>97</v>
      </c>
      <c r="D278" t="s">
        <v>29</v>
      </c>
      <c r="E278" t="s">
        <v>22</v>
      </c>
      <c r="F278" t="s">
        <v>23</v>
      </c>
      <c r="G278">
        <v>1</v>
      </c>
      <c r="H278" s="1">
        <v>8.99</v>
      </c>
      <c r="I278" s="1">
        <v>8.99</v>
      </c>
      <c r="J278">
        <v>5</v>
      </c>
      <c r="K278" t="str">
        <f>TEXT(tbl_RawSales[[#This Row],[Order Date]],"mmm")</f>
        <v>Jan</v>
      </c>
      <c r="L278">
        <f>MONTH(tbl_RawSales[[#This Row],[Order Date]])</f>
        <v>1</v>
      </c>
      <c r="M278" t="str">
        <f>TEXT(tbl_RawSales[[#This Row],[Order Date]],"ddd")</f>
        <v>Sun</v>
      </c>
      <c r="N278">
        <f>WEEKDAY(tbl_RawSales[[#This Row],[Order Date]],2)</f>
        <v>7</v>
      </c>
    </row>
    <row r="279" spans="1:14" x14ac:dyDescent="0.25">
      <c r="A279" t="s">
        <v>329</v>
      </c>
      <c r="B279" s="20">
        <v>45414</v>
      </c>
      <c r="C279" t="s">
        <v>21</v>
      </c>
      <c r="D279" t="s">
        <v>12</v>
      </c>
      <c r="E279" t="s">
        <v>26</v>
      </c>
      <c r="F279" t="s">
        <v>19</v>
      </c>
      <c r="G279">
        <v>2</v>
      </c>
      <c r="H279" s="1">
        <v>3.49</v>
      </c>
      <c r="I279" s="1">
        <v>6.98</v>
      </c>
      <c r="J279">
        <v>5</v>
      </c>
      <c r="K279" t="str">
        <f>TEXT(tbl_RawSales[[#This Row],[Order Date]],"mmm")</f>
        <v>May</v>
      </c>
      <c r="L279">
        <f>MONTH(tbl_RawSales[[#This Row],[Order Date]])</f>
        <v>5</v>
      </c>
      <c r="M279" t="str">
        <f>TEXT(tbl_RawSales[[#This Row],[Order Date]],"ddd")</f>
        <v>Thu</v>
      </c>
      <c r="N279">
        <f>WEEKDAY(tbl_RawSales[[#This Row],[Order Date]],2)</f>
        <v>4</v>
      </c>
    </row>
    <row r="280" spans="1:14" x14ac:dyDescent="0.25">
      <c r="A280" t="s">
        <v>330</v>
      </c>
      <c r="B280" s="20">
        <v>45697</v>
      </c>
      <c r="C280" t="s">
        <v>21</v>
      </c>
      <c r="D280" t="s">
        <v>17</v>
      </c>
      <c r="E280" t="s">
        <v>119</v>
      </c>
      <c r="F280" t="s">
        <v>19</v>
      </c>
      <c r="G280">
        <v>2</v>
      </c>
      <c r="H280" s="1">
        <v>4.99</v>
      </c>
      <c r="I280" s="1">
        <v>9.98</v>
      </c>
      <c r="J280">
        <v>4</v>
      </c>
      <c r="K280" t="str">
        <f>TEXT(tbl_RawSales[[#This Row],[Order Date]],"mmm")</f>
        <v>Feb</v>
      </c>
      <c r="L280">
        <f>MONTH(tbl_RawSales[[#This Row],[Order Date]])</f>
        <v>2</v>
      </c>
      <c r="M280" t="str">
        <f>TEXT(tbl_RawSales[[#This Row],[Order Date]],"ddd")</f>
        <v>Sun</v>
      </c>
      <c r="N280">
        <f>WEEKDAY(tbl_RawSales[[#This Row],[Order Date]],2)</f>
        <v>7</v>
      </c>
    </row>
    <row r="281" spans="1:14" x14ac:dyDescent="0.25">
      <c r="A281" t="s">
        <v>331</v>
      </c>
      <c r="B281" s="20">
        <v>45928</v>
      </c>
      <c r="C281" t="s">
        <v>11</v>
      </c>
      <c r="D281" t="s">
        <v>12</v>
      </c>
      <c r="E281" t="s">
        <v>13</v>
      </c>
      <c r="F281" t="s">
        <v>14</v>
      </c>
      <c r="G281">
        <v>1</v>
      </c>
      <c r="H281" s="1">
        <v>18.989999999999998</v>
      </c>
      <c r="I281" s="1">
        <v>18.989999999999998</v>
      </c>
      <c r="J281">
        <v>4</v>
      </c>
      <c r="K281" t="str">
        <f>TEXT(tbl_RawSales[[#This Row],[Order Date]],"mmm")</f>
        <v>Sept</v>
      </c>
      <c r="L281">
        <f>MONTH(tbl_RawSales[[#This Row],[Order Date]])</f>
        <v>9</v>
      </c>
      <c r="M281" t="str">
        <f>TEXT(tbl_RawSales[[#This Row],[Order Date]],"ddd")</f>
        <v>Sun</v>
      </c>
      <c r="N281">
        <f>WEEKDAY(tbl_RawSales[[#This Row],[Order Date]],2)</f>
        <v>7</v>
      </c>
    </row>
    <row r="282" spans="1:14" x14ac:dyDescent="0.25">
      <c r="A282" t="s">
        <v>332</v>
      </c>
      <c r="B282" s="20">
        <v>45417</v>
      </c>
      <c r="C282" t="s">
        <v>97</v>
      </c>
      <c r="D282" t="s">
        <v>12</v>
      </c>
      <c r="E282" t="s">
        <v>83</v>
      </c>
      <c r="F282" t="s">
        <v>14</v>
      </c>
      <c r="G282">
        <v>3</v>
      </c>
      <c r="H282" s="1">
        <v>17.989999999999998</v>
      </c>
      <c r="I282" s="1">
        <v>53.97</v>
      </c>
      <c r="J282">
        <v>5</v>
      </c>
      <c r="K282" t="str">
        <f>TEXT(tbl_RawSales[[#This Row],[Order Date]],"mmm")</f>
        <v>May</v>
      </c>
      <c r="L282">
        <f>MONTH(tbl_RawSales[[#This Row],[Order Date]])</f>
        <v>5</v>
      </c>
      <c r="M282" t="str">
        <f>TEXT(tbl_RawSales[[#This Row],[Order Date]],"ddd")</f>
        <v>Sun</v>
      </c>
      <c r="N282">
        <f>WEEKDAY(tbl_RawSales[[#This Row],[Order Date]],2)</f>
        <v>7</v>
      </c>
    </row>
    <row r="283" spans="1:14" x14ac:dyDescent="0.25">
      <c r="A283" t="s">
        <v>333</v>
      </c>
      <c r="B283" s="20">
        <v>45905</v>
      </c>
      <c r="C283" t="s">
        <v>34</v>
      </c>
      <c r="D283" t="s">
        <v>17</v>
      </c>
      <c r="E283" t="s">
        <v>13</v>
      </c>
      <c r="F283" t="s">
        <v>14</v>
      </c>
      <c r="G283">
        <v>1</v>
      </c>
      <c r="H283" s="1">
        <v>18.989999999999998</v>
      </c>
      <c r="I283" s="1">
        <v>18.989999999999998</v>
      </c>
      <c r="J283">
        <v>4</v>
      </c>
      <c r="K283" t="str">
        <f>TEXT(tbl_RawSales[[#This Row],[Order Date]],"mmm")</f>
        <v>Sept</v>
      </c>
      <c r="L283">
        <f>MONTH(tbl_RawSales[[#This Row],[Order Date]])</f>
        <v>9</v>
      </c>
      <c r="M283" t="str">
        <f>TEXT(tbl_RawSales[[#This Row],[Order Date]],"ddd")</f>
        <v>Fri</v>
      </c>
      <c r="N283">
        <f>WEEKDAY(tbl_RawSales[[#This Row],[Order Date]],2)</f>
        <v>5</v>
      </c>
    </row>
    <row r="284" spans="1:14" x14ac:dyDescent="0.25">
      <c r="A284" t="s">
        <v>334</v>
      </c>
      <c r="B284" s="20">
        <v>45401</v>
      </c>
      <c r="C284" t="s">
        <v>16</v>
      </c>
      <c r="D284" t="s">
        <v>17</v>
      </c>
      <c r="E284" t="s">
        <v>13</v>
      </c>
      <c r="F284" t="s">
        <v>14</v>
      </c>
      <c r="G284">
        <v>2</v>
      </c>
      <c r="H284" s="1">
        <v>18.989999999999998</v>
      </c>
      <c r="I284" s="1">
        <v>37.979999999999997</v>
      </c>
      <c r="J284">
        <v>4</v>
      </c>
      <c r="K284" t="str">
        <f>TEXT(tbl_RawSales[[#This Row],[Order Date]],"mmm")</f>
        <v>Apr</v>
      </c>
      <c r="L284">
        <f>MONTH(tbl_RawSales[[#This Row],[Order Date]])</f>
        <v>4</v>
      </c>
      <c r="M284" t="str">
        <f>TEXT(tbl_RawSales[[#This Row],[Order Date]],"ddd")</f>
        <v>Fri</v>
      </c>
      <c r="N284">
        <f>WEEKDAY(tbl_RawSales[[#This Row],[Order Date]],2)</f>
        <v>5</v>
      </c>
    </row>
    <row r="285" spans="1:14" x14ac:dyDescent="0.25">
      <c r="A285" t="s">
        <v>335</v>
      </c>
      <c r="B285" s="20">
        <v>45633</v>
      </c>
      <c r="C285" t="s">
        <v>16</v>
      </c>
      <c r="D285" t="s">
        <v>12</v>
      </c>
      <c r="E285" t="s">
        <v>55</v>
      </c>
      <c r="F285" t="s">
        <v>23</v>
      </c>
      <c r="G285">
        <v>3</v>
      </c>
      <c r="H285" s="1">
        <v>10.99</v>
      </c>
      <c r="I285" s="1">
        <v>32.97</v>
      </c>
      <c r="J285">
        <v>4</v>
      </c>
      <c r="K285" t="str">
        <f>TEXT(tbl_RawSales[[#This Row],[Order Date]],"mmm")</f>
        <v>Dec</v>
      </c>
      <c r="L285">
        <f>MONTH(tbl_RawSales[[#This Row],[Order Date]])</f>
        <v>12</v>
      </c>
      <c r="M285" t="str">
        <f>TEXT(tbl_RawSales[[#This Row],[Order Date]],"ddd")</f>
        <v>Sat</v>
      </c>
      <c r="N285">
        <f>WEEKDAY(tbl_RawSales[[#This Row],[Order Date]],2)</f>
        <v>6</v>
      </c>
    </row>
    <row r="286" spans="1:14" x14ac:dyDescent="0.25">
      <c r="A286" t="s">
        <v>336</v>
      </c>
      <c r="B286" s="20">
        <v>45549</v>
      </c>
      <c r="C286" t="s">
        <v>25</v>
      </c>
      <c r="D286" t="s">
        <v>17</v>
      </c>
      <c r="E286" t="s">
        <v>43</v>
      </c>
      <c r="F286" t="s">
        <v>23</v>
      </c>
      <c r="G286">
        <v>1</v>
      </c>
      <c r="H286" s="1">
        <v>11.99</v>
      </c>
      <c r="I286" s="1">
        <v>11.99</v>
      </c>
      <c r="J286">
        <v>4</v>
      </c>
      <c r="K286" t="str">
        <f>TEXT(tbl_RawSales[[#This Row],[Order Date]],"mmm")</f>
        <v>Sept</v>
      </c>
      <c r="L286">
        <f>MONTH(tbl_RawSales[[#This Row],[Order Date]])</f>
        <v>9</v>
      </c>
      <c r="M286" t="str">
        <f>TEXT(tbl_RawSales[[#This Row],[Order Date]],"ddd")</f>
        <v>Sat</v>
      </c>
      <c r="N286">
        <f>WEEKDAY(tbl_RawSales[[#This Row],[Order Date]],2)</f>
        <v>6</v>
      </c>
    </row>
    <row r="287" spans="1:14" x14ac:dyDescent="0.25">
      <c r="A287" t="s">
        <v>337</v>
      </c>
      <c r="B287" s="20">
        <v>45535</v>
      </c>
      <c r="C287" t="s">
        <v>11</v>
      </c>
      <c r="D287" t="s">
        <v>12</v>
      </c>
      <c r="E287" t="s">
        <v>39</v>
      </c>
      <c r="F287" t="s">
        <v>14</v>
      </c>
      <c r="G287">
        <v>1</v>
      </c>
      <c r="H287" s="1">
        <v>24.99</v>
      </c>
      <c r="I287" s="1">
        <v>24.99</v>
      </c>
      <c r="J287">
        <v>3</v>
      </c>
      <c r="K287" t="str">
        <f>TEXT(tbl_RawSales[[#This Row],[Order Date]],"mmm")</f>
        <v>Aug</v>
      </c>
      <c r="L287">
        <f>MONTH(tbl_RawSales[[#This Row],[Order Date]])</f>
        <v>8</v>
      </c>
      <c r="M287" t="str">
        <f>TEXT(tbl_RawSales[[#This Row],[Order Date]],"ddd")</f>
        <v>Sat</v>
      </c>
      <c r="N287">
        <f>WEEKDAY(tbl_RawSales[[#This Row],[Order Date]],2)</f>
        <v>6</v>
      </c>
    </row>
    <row r="288" spans="1:14" x14ac:dyDescent="0.25">
      <c r="A288" t="s">
        <v>338</v>
      </c>
      <c r="B288" s="20">
        <v>45397</v>
      </c>
      <c r="C288" t="s">
        <v>11</v>
      </c>
      <c r="D288" t="s">
        <v>17</v>
      </c>
      <c r="E288" t="s">
        <v>112</v>
      </c>
      <c r="F288" t="s">
        <v>19</v>
      </c>
      <c r="G288">
        <v>1</v>
      </c>
      <c r="H288" s="1">
        <v>5.99</v>
      </c>
      <c r="I288" s="1">
        <v>5.99</v>
      </c>
      <c r="J288">
        <v>4</v>
      </c>
      <c r="K288" t="str">
        <f>TEXT(tbl_RawSales[[#This Row],[Order Date]],"mmm")</f>
        <v>Apr</v>
      </c>
      <c r="L288">
        <f>MONTH(tbl_RawSales[[#This Row],[Order Date]])</f>
        <v>4</v>
      </c>
      <c r="M288" t="str">
        <f>TEXT(tbl_RawSales[[#This Row],[Order Date]],"ddd")</f>
        <v>Mon</v>
      </c>
      <c r="N288">
        <f>WEEKDAY(tbl_RawSales[[#This Row],[Order Date]],2)</f>
        <v>1</v>
      </c>
    </row>
    <row r="289" spans="1:14" x14ac:dyDescent="0.25">
      <c r="A289" t="s">
        <v>339</v>
      </c>
      <c r="B289" s="20">
        <v>45757</v>
      </c>
      <c r="C289" t="s">
        <v>25</v>
      </c>
      <c r="D289" t="s">
        <v>17</v>
      </c>
      <c r="E289" t="s">
        <v>46</v>
      </c>
      <c r="F289" t="s">
        <v>14</v>
      </c>
      <c r="G289">
        <v>1</v>
      </c>
      <c r="H289" s="1">
        <v>32.99</v>
      </c>
      <c r="I289" s="1">
        <v>32.99</v>
      </c>
      <c r="J289">
        <v>4</v>
      </c>
      <c r="K289" t="str">
        <f>TEXT(tbl_RawSales[[#This Row],[Order Date]],"mmm")</f>
        <v>Apr</v>
      </c>
      <c r="L289">
        <f>MONTH(tbl_RawSales[[#This Row],[Order Date]])</f>
        <v>4</v>
      </c>
      <c r="M289" t="str">
        <f>TEXT(tbl_RawSales[[#This Row],[Order Date]],"ddd")</f>
        <v>Thu</v>
      </c>
      <c r="N289">
        <f>WEEKDAY(tbl_RawSales[[#This Row],[Order Date]],2)</f>
        <v>4</v>
      </c>
    </row>
    <row r="290" spans="1:14" x14ac:dyDescent="0.25">
      <c r="A290" t="s">
        <v>340</v>
      </c>
      <c r="B290" s="20">
        <v>45691</v>
      </c>
      <c r="C290" t="s">
        <v>16</v>
      </c>
      <c r="D290" t="s">
        <v>12</v>
      </c>
      <c r="E290" t="s">
        <v>46</v>
      </c>
      <c r="F290" t="s">
        <v>14</v>
      </c>
      <c r="G290">
        <v>1</v>
      </c>
      <c r="H290" s="1">
        <v>32.99</v>
      </c>
      <c r="I290" s="1">
        <v>32.99</v>
      </c>
      <c r="J290">
        <v>4</v>
      </c>
      <c r="K290" t="str">
        <f>TEXT(tbl_RawSales[[#This Row],[Order Date]],"mmm")</f>
        <v>Feb</v>
      </c>
      <c r="L290">
        <f>MONTH(tbl_RawSales[[#This Row],[Order Date]])</f>
        <v>2</v>
      </c>
      <c r="M290" t="str">
        <f>TEXT(tbl_RawSales[[#This Row],[Order Date]],"ddd")</f>
        <v>Mon</v>
      </c>
      <c r="N290">
        <f>WEEKDAY(tbl_RawSales[[#This Row],[Order Date]],2)</f>
        <v>1</v>
      </c>
    </row>
    <row r="291" spans="1:14" x14ac:dyDescent="0.25">
      <c r="A291" t="s">
        <v>341</v>
      </c>
      <c r="B291" s="20">
        <v>45452</v>
      </c>
      <c r="C291" t="s">
        <v>38</v>
      </c>
      <c r="D291" t="s">
        <v>29</v>
      </c>
      <c r="E291" t="s">
        <v>112</v>
      </c>
      <c r="F291" t="s">
        <v>19</v>
      </c>
      <c r="G291">
        <v>1</v>
      </c>
      <c r="H291" s="1">
        <v>5.99</v>
      </c>
      <c r="I291" s="1">
        <v>5.99</v>
      </c>
      <c r="J291">
        <v>5</v>
      </c>
      <c r="K291" t="str">
        <f>TEXT(tbl_RawSales[[#This Row],[Order Date]],"mmm")</f>
        <v>Jun</v>
      </c>
      <c r="L291">
        <f>MONTH(tbl_RawSales[[#This Row],[Order Date]])</f>
        <v>6</v>
      </c>
      <c r="M291" t="str">
        <f>TEXT(tbl_RawSales[[#This Row],[Order Date]],"ddd")</f>
        <v>Sun</v>
      </c>
      <c r="N291">
        <f>WEEKDAY(tbl_RawSales[[#This Row],[Order Date]],2)</f>
        <v>7</v>
      </c>
    </row>
    <row r="292" spans="1:14" x14ac:dyDescent="0.25">
      <c r="A292" t="s">
        <v>342</v>
      </c>
      <c r="B292" s="20">
        <v>45766</v>
      </c>
      <c r="C292" t="s">
        <v>38</v>
      </c>
      <c r="D292" t="s">
        <v>12</v>
      </c>
      <c r="E292" t="s">
        <v>62</v>
      </c>
      <c r="F292" t="s">
        <v>23</v>
      </c>
      <c r="G292">
        <v>1</v>
      </c>
      <c r="H292" s="1">
        <v>9.99</v>
      </c>
      <c r="I292" s="1">
        <v>9.99</v>
      </c>
      <c r="J292">
        <v>4</v>
      </c>
      <c r="K292" t="str">
        <f>TEXT(tbl_RawSales[[#This Row],[Order Date]],"mmm")</f>
        <v>Apr</v>
      </c>
      <c r="L292">
        <f>MONTH(tbl_RawSales[[#This Row],[Order Date]])</f>
        <v>4</v>
      </c>
      <c r="M292" t="str">
        <f>TEXT(tbl_RawSales[[#This Row],[Order Date]],"ddd")</f>
        <v>Sat</v>
      </c>
      <c r="N292">
        <f>WEEKDAY(tbl_RawSales[[#This Row],[Order Date]],2)</f>
        <v>6</v>
      </c>
    </row>
    <row r="293" spans="1:14" x14ac:dyDescent="0.25">
      <c r="A293" t="s">
        <v>343</v>
      </c>
      <c r="B293" s="20">
        <v>45897</v>
      </c>
      <c r="C293" t="s">
        <v>16</v>
      </c>
      <c r="D293" t="s">
        <v>12</v>
      </c>
      <c r="E293" t="s">
        <v>66</v>
      </c>
      <c r="F293" t="s">
        <v>67</v>
      </c>
      <c r="G293">
        <v>1</v>
      </c>
      <c r="H293" s="1">
        <v>7.99</v>
      </c>
      <c r="I293" s="1">
        <v>7.99</v>
      </c>
      <c r="J293">
        <v>2</v>
      </c>
      <c r="K293" t="str">
        <f>TEXT(tbl_RawSales[[#This Row],[Order Date]],"mmm")</f>
        <v>Aug</v>
      </c>
      <c r="L293">
        <f>MONTH(tbl_RawSales[[#This Row],[Order Date]])</f>
        <v>8</v>
      </c>
      <c r="M293" t="str">
        <f>TEXT(tbl_RawSales[[#This Row],[Order Date]],"ddd")</f>
        <v>Thu</v>
      </c>
      <c r="N293">
        <f>WEEKDAY(tbl_RawSales[[#This Row],[Order Date]],2)</f>
        <v>4</v>
      </c>
    </row>
    <row r="294" spans="1:14" x14ac:dyDescent="0.25">
      <c r="A294" t="s">
        <v>344</v>
      </c>
      <c r="B294" s="20">
        <v>45311</v>
      </c>
      <c r="C294" t="s">
        <v>45</v>
      </c>
      <c r="D294" t="s">
        <v>29</v>
      </c>
      <c r="E294" t="s">
        <v>50</v>
      </c>
      <c r="F294" t="s">
        <v>14</v>
      </c>
      <c r="G294">
        <v>1</v>
      </c>
      <c r="H294" s="1">
        <v>22.99</v>
      </c>
      <c r="I294" s="1">
        <v>22.99</v>
      </c>
      <c r="J294">
        <v>5</v>
      </c>
      <c r="K294" t="str">
        <f>TEXT(tbl_RawSales[[#This Row],[Order Date]],"mmm")</f>
        <v>Jan</v>
      </c>
      <c r="L294">
        <f>MONTH(tbl_RawSales[[#This Row],[Order Date]])</f>
        <v>1</v>
      </c>
      <c r="M294" t="str">
        <f>TEXT(tbl_RawSales[[#This Row],[Order Date]],"ddd")</f>
        <v>Sat</v>
      </c>
      <c r="N294">
        <f>WEEKDAY(tbl_RawSales[[#This Row],[Order Date]],2)</f>
        <v>6</v>
      </c>
    </row>
    <row r="295" spans="1:14" x14ac:dyDescent="0.25">
      <c r="A295" t="s">
        <v>345</v>
      </c>
      <c r="B295" s="20">
        <v>45823</v>
      </c>
      <c r="C295" t="s">
        <v>21</v>
      </c>
      <c r="D295" t="s">
        <v>12</v>
      </c>
      <c r="E295" t="s">
        <v>57</v>
      </c>
      <c r="F295" t="s">
        <v>14</v>
      </c>
      <c r="G295">
        <v>2</v>
      </c>
      <c r="H295" s="1">
        <v>15.99</v>
      </c>
      <c r="I295" s="1">
        <v>31.98</v>
      </c>
      <c r="J295">
        <v>4</v>
      </c>
      <c r="K295" t="str">
        <f>TEXT(tbl_RawSales[[#This Row],[Order Date]],"mmm")</f>
        <v>Jun</v>
      </c>
      <c r="L295">
        <f>MONTH(tbl_RawSales[[#This Row],[Order Date]])</f>
        <v>6</v>
      </c>
      <c r="M295" t="str">
        <f>TEXT(tbl_RawSales[[#This Row],[Order Date]],"ddd")</f>
        <v>Sun</v>
      </c>
      <c r="N295">
        <f>WEEKDAY(tbl_RawSales[[#This Row],[Order Date]],2)</f>
        <v>7</v>
      </c>
    </row>
    <row r="296" spans="1:14" x14ac:dyDescent="0.25">
      <c r="A296" t="s">
        <v>346</v>
      </c>
      <c r="B296" s="20">
        <v>45365</v>
      </c>
      <c r="C296" t="s">
        <v>16</v>
      </c>
      <c r="D296" t="s">
        <v>12</v>
      </c>
      <c r="E296" t="s">
        <v>39</v>
      </c>
      <c r="F296" t="s">
        <v>14</v>
      </c>
      <c r="G296">
        <v>2</v>
      </c>
      <c r="H296" s="1">
        <v>24.99</v>
      </c>
      <c r="I296" s="1">
        <v>49.98</v>
      </c>
      <c r="J296">
        <v>4</v>
      </c>
      <c r="K296" t="str">
        <f>TEXT(tbl_RawSales[[#This Row],[Order Date]],"mmm")</f>
        <v>Mar</v>
      </c>
      <c r="L296">
        <f>MONTH(tbl_RawSales[[#This Row],[Order Date]])</f>
        <v>3</v>
      </c>
      <c r="M296" t="str">
        <f>TEXT(tbl_RawSales[[#This Row],[Order Date]],"ddd")</f>
        <v>Thu</v>
      </c>
      <c r="N296">
        <f>WEEKDAY(tbl_RawSales[[#This Row],[Order Date]],2)</f>
        <v>4</v>
      </c>
    </row>
    <row r="297" spans="1:14" x14ac:dyDescent="0.25">
      <c r="A297" t="s">
        <v>347</v>
      </c>
      <c r="B297" s="20">
        <v>45327</v>
      </c>
      <c r="C297" t="s">
        <v>16</v>
      </c>
      <c r="D297" t="s">
        <v>17</v>
      </c>
      <c r="E297" t="s">
        <v>22</v>
      </c>
      <c r="F297" t="s">
        <v>23</v>
      </c>
      <c r="G297">
        <v>1</v>
      </c>
      <c r="H297" s="1">
        <v>8.99</v>
      </c>
      <c r="I297" s="1">
        <v>8.99</v>
      </c>
      <c r="J297">
        <v>3</v>
      </c>
      <c r="K297" t="str">
        <f>TEXT(tbl_RawSales[[#This Row],[Order Date]],"mmm")</f>
        <v>Feb</v>
      </c>
      <c r="L297">
        <f>MONTH(tbl_RawSales[[#This Row],[Order Date]])</f>
        <v>2</v>
      </c>
      <c r="M297" t="str">
        <f>TEXT(tbl_RawSales[[#This Row],[Order Date]],"ddd")</f>
        <v>Mon</v>
      </c>
      <c r="N297">
        <f>WEEKDAY(tbl_RawSales[[#This Row],[Order Date]],2)</f>
        <v>1</v>
      </c>
    </row>
    <row r="298" spans="1:14" x14ac:dyDescent="0.25">
      <c r="A298" t="s">
        <v>348</v>
      </c>
      <c r="B298" s="20">
        <v>45688</v>
      </c>
      <c r="C298" t="s">
        <v>25</v>
      </c>
      <c r="D298" t="s">
        <v>29</v>
      </c>
      <c r="E298" t="s">
        <v>46</v>
      </c>
      <c r="F298" t="s">
        <v>14</v>
      </c>
      <c r="G298">
        <v>3</v>
      </c>
      <c r="H298" s="1">
        <v>32.99</v>
      </c>
      <c r="I298" s="1">
        <v>98.97</v>
      </c>
      <c r="J298">
        <v>3</v>
      </c>
      <c r="K298" t="str">
        <f>TEXT(tbl_RawSales[[#This Row],[Order Date]],"mmm")</f>
        <v>Jan</v>
      </c>
      <c r="L298">
        <f>MONTH(tbl_RawSales[[#This Row],[Order Date]])</f>
        <v>1</v>
      </c>
      <c r="M298" t="str">
        <f>TEXT(tbl_RawSales[[#This Row],[Order Date]],"ddd")</f>
        <v>Fri</v>
      </c>
      <c r="N298">
        <f>WEEKDAY(tbl_RawSales[[#This Row],[Order Date]],2)</f>
        <v>5</v>
      </c>
    </row>
    <row r="299" spans="1:14" x14ac:dyDescent="0.25">
      <c r="A299" t="s">
        <v>349</v>
      </c>
      <c r="B299" s="20">
        <v>45569</v>
      </c>
      <c r="C299" t="s">
        <v>34</v>
      </c>
      <c r="D299" t="s">
        <v>12</v>
      </c>
      <c r="E299" t="s">
        <v>46</v>
      </c>
      <c r="F299" t="s">
        <v>14</v>
      </c>
      <c r="G299">
        <v>1</v>
      </c>
      <c r="H299" s="1">
        <v>32.99</v>
      </c>
      <c r="I299" s="1">
        <v>32.99</v>
      </c>
      <c r="J299">
        <v>5</v>
      </c>
      <c r="K299" t="str">
        <f>TEXT(tbl_RawSales[[#This Row],[Order Date]],"mmm")</f>
        <v>Oct</v>
      </c>
      <c r="L299">
        <f>MONTH(tbl_RawSales[[#This Row],[Order Date]])</f>
        <v>10</v>
      </c>
      <c r="M299" t="str">
        <f>TEXT(tbl_RawSales[[#This Row],[Order Date]],"ddd")</f>
        <v>Fri</v>
      </c>
      <c r="N299">
        <f>WEEKDAY(tbl_RawSales[[#This Row],[Order Date]],2)</f>
        <v>5</v>
      </c>
    </row>
    <row r="300" spans="1:14" x14ac:dyDescent="0.25">
      <c r="A300" t="s">
        <v>350</v>
      </c>
      <c r="B300" s="20">
        <v>45837</v>
      </c>
      <c r="C300" t="s">
        <v>32</v>
      </c>
      <c r="D300" t="s">
        <v>29</v>
      </c>
      <c r="E300" t="s">
        <v>50</v>
      </c>
      <c r="F300" t="s">
        <v>14</v>
      </c>
      <c r="G300">
        <v>3</v>
      </c>
      <c r="H300" s="1">
        <v>22.99</v>
      </c>
      <c r="I300" s="1">
        <v>68.97</v>
      </c>
      <c r="J300">
        <v>4</v>
      </c>
      <c r="K300" t="str">
        <f>TEXT(tbl_RawSales[[#This Row],[Order Date]],"mmm")</f>
        <v>Jun</v>
      </c>
      <c r="L300">
        <f>MONTH(tbl_RawSales[[#This Row],[Order Date]])</f>
        <v>6</v>
      </c>
      <c r="M300" t="str">
        <f>TEXT(tbl_RawSales[[#This Row],[Order Date]],"ddd")</f>
        <v>Sun</v>
      </c>
      <c r="N300">
        <f>WEEKDAY(tbl_RawSales[[#This Row],[Order Date]],2)</f>
        <v>7</v>
      </c>
    </row>
    <row r="301" spans="1:14" x14ac:dyDescent="0.25">
      <c r="A301" t="s">
        <v>351</v>
      </c>
      <c r="B301" s="20">
        <v>46020</v>
      </c>
      <c r="C301" t="s">
        <v>28</v>
      </c>
      <c r="D301" t="s">
        <v>29</v>
      </c>
      <c r="E301" t="s">
        <v>46</v>
      </c>
      <c r="F301" t="s">
        <v>14</v>
      </c>
      <c r="G301">
        <v>1</v>
      </c>
      <c r="H301" s="1">
        <v>32.99</v>
      </c>
      <c r="I301" s="1">
        <v>32.99</v>
      </c>
      <c r="J301">
        <v>4</v>
      </c>
      <c r="K301" t="str">
        <f>TEXT(tbl_RawSales[[#This Row],[Order Date]],"mmm")</f>
        <v>Dec</v>
      </c>
      <c r="L301">
        <f>MONTH(tbl_RawSales[[#This Row],[Order Date]])</f>
        <v>12</v>
      </c>
      <c r="M301" t="str">
        <f>TEXT(tbl_RawSales[[#This Row],[Order Date]],"ddd")</f>
        <v>Mon</v>
      </c>
      <c r="N301">
        <f>WEEKDAY(tbl_RawSales[[#This Row],[Order Date]],2)</f>
        <v>1</v>
      </c>
    </row>
    <row r="302" spans="1:14" x14ac:dyDescent="0.25">
      <c r="A302" t="s">
        <v>352</v>
      </c>
      <c r="B302" s="20">
        <v>45654</v>
      </c>
      <c r="C302" t="s">
        <v>38</v>
      </c>
      <c r="D302" t="s">
        <v>17</v>
      </c>
      <c r="E302" t="s">
        <v>50</v>
      </c>
      <c r="F302" t="s">
        <v>14</v>
      </c>
      <c r="G302">
        <v>3</v>
      </c>
      <c r="H302" s="1">
        <v>22.99</v>
      </c>
      <c r="I302" s="1">
        <v>68.97</v>
      </c>
      <c r="J302">
        <v>5</v>
      </c>
      <c r="K302" t="str">
        <f>TEXT(tbl_RawSales[[#This Row],[Order Date]],"mmm")</f>
        <v>Dec</v>
      </c>
      <c r="L302">
        <f>MONTH(tbl_RawSales[[#This Row],[Order Date]])</f>
        <v>12</v>
      </c>
      <c r="M302" t="str">
        <f>TEXT(tbl_RawSales[[#This Row],[Order Date]],"ddd")</f>
        <v>Sat</v>
      </c>
      <c r="N302">
        <f>WEEKDAY(tbl_RawSales[[#This Row],[Order Date]],2)</f>
        <v>6</v>
      </c>
    </row>
    <row r="303" spans="1:14" x14ac:dyDescent="0.25">
      <c r="A303" t="s">
        <v>353</v>
      </c>
      <c r="B303" s="20">
        <v>46006</v>
      </c>
      <c r="C303" t="s">
        <v>34</v>
      </c>
      <c r="D303" t="s">
        <v>29</v>
      </c>
      <c r="E303" t="s">
        <v>62</v>
      </c>
      <c r="F303" t="s">
        <v>23</v>
      </c>
      <c r="G303">
        <v>2</v>
      </c>
      <c r="H303" s="1">
        <v>9.99</v>
      </c>
      <c r="I303" s="1">
        <v>19.98</v>
      </c>
      <c r="J303">
        <v>2</v>
      </c>
      <c r="K303" t="str">
        <f>TEXT(tbl_RawSales[[#This Row],[Order Date]],"mmm")</f>
        <v>Dec</v>
      </c>
      <c r="L303">
        <f>MONTH(tbl_RawSales[[#This Row],[Order Date]])</f>
        <v>12</v>
      </c>
      <c r="M303" t="str">
        <f>TEXT(tbl_RawSales[[#This Row],[Order Date]],"ddd")</f>
        <v>Mon</v>
      </c>
      <c r="N303">
        <f>WEEKDAY(tbl_RawSales[[#This Row],[Order Date]],2)</f>
        <v>1</v>
      </c>
    </row>
    <row r="304" spans="1:14" x14ac:dyDescent="0.25">
      <c r="A304" t="s">
        <v>354</v>
      </c>
      <c r="B304" s="20">
        <v>46020</v>
      </c>
      <c r="C304" t="s">
        <v>21</v>
      </c>
      <c r="D304" t="s">
        <v>12</v>
      </c>
      <c r="E304" t="s">
        <v>57</v>
      </c>
      <c r="F304" t="s">
        <v>14</v>
      </c>
      <c r="G304">
        <v>2</v>
      </c>
      <c r="H304" s="1">
        <v>15.99</v>
      </c>
      <c r="I304" s="1">
        <v>31.98</v>
      </c>
      <c r="J304">
        <v>3</v>
      </c>
      <c r="K304" t="str">
        <f>TEXT(tbl_RawSales[[#This Row],[Order Date]],"mmm")</f>
        <v>Dec</v>
      </c>
      <c r="L304">
        <f>MONTH(tbl_RawSales[[#This Row],[Order Date]])</f>
        <v>12</v>
      </c>
      <c r="M304" t="str">
        <f>TEXT(tbl_RawSales[[#This Row],[Order Date]],"ddd")</f>
        <v>Mon</v>
      </c>
      <c r="N304">
        <f>WEEKDAY(tbl_RawSales[[#This Row],[Order Date]],2)</f>
        <v>1</v>
      </c>
    </row>
    <row r="305" spans="1:14" x14ac:dyDescent="0.25">
      <c r="A305" t="s">
        <v>355</v>
      </c>
      <c r="B305" s="20">
        <v>45681</v>
      </c>
      <c r="C305" t="s">
        <v>11</v>
      </c>
      <c r="D305" t="s">
        <v>17</v>
      </c>
      <c r="E305" t="s">
        <v>39</v>
      </c>
      <c r="F305" t="s">
        <v>14</v>
      </c>
      <c r="G305">
        <v>3</v>
      </c>
      <c r="H305" s="1">
        <v>24.99</v>
      </c>
      <c r="I305" s="1">
        <v>74.97</v>
      </c>
      <c r="J305">
        <v>4</v>
      </c>
      <c r="K305" t="str">
        <f>TEXT(tbl_RawSales[[#This Row],[Order Date]],"mmm")</f>
        <v>Jan</v>
      </c>
      <c r="L305">
        <f>MONTH(tbl_RawSales[[#This Row],[Order Date]])</f>
        <v>1</v>
      </c>
      <c r="M305" t="str">
        <f>TEXT(tbl_RawSales[[#This Row],[Order Date]],"ddd")</f>
        <v>Fri</v>
      </c>
      <c r="N305">
        <f>WEEKDAY(tbl_RawSales[[#This Row],[Order Date]],2)</f>
        <v>5</v>
      </c>
    </row>
    <row r="306" spans="1:14" x14ac:dyDescent="0.25">
      <c r="A306" t="s">
        <v>356</v>
      </c>
      <c r="B306" s="20">
        <v>45877</v>
      </c>
      <c r="C306" t="s">
        <v>21</v>
      </c>
      <c r="D306" t="s">
        <v>29</v>
      </c>
      <c r="E306" t="s">
        <v>18</v>
      </c>
      <c r="F306" t="s">
        <v>19</v>
      </c>
      <c r="G306">
        <v>1</v>
      </c>
      <c r="H306" s="1">
        <v>9.99</v>
      </c>
      <c r="I306" s="1">
        <v>9.99</v>
      </c>
      <c r="J306">
        <v>4</v>
      </c>
      <c r="K306" t="str">
        <f>TEXT(tbl_RawSales[[#This Row],[Order Date]],"mmm")</f>
        <v>Aug</v>
      </c>
      <c r="L306">
        <f>MONTH(tbl_RawSales[[#This Row],[Order Date]])</f>
        <v>8</v>
      </c>
      <c r="M306" t="str">
        <f>TEXT(tbl_RawSales[[#This Row],[Order Date]],"ddd")</f>
        <v>Fri</v>
      </c>
      <c r="N306">
        <f>WEEKDAY(tbl_RawSales[[#This Row],[Order Date]],2)</f>
        <v>5</v>
      </c>
    </row>
    <row r="307" spans="1:14" x14ac:dyDescent="0.25">
      <c r="A307" t="s">
        <v>357</v>
      </c>
      <c r="B307" s="20">
        <v>45821</v>
      </c>
      <c r="C307" t="s">
        <v>34</v>
      </c>
      <c r="D307" t="s">
        <v>12</v>
      </c>
      <c r="E307" t="s">
        <v>55</v>
      </c>
      <c r="F307" t="s">
        <v>23</v>
      </c>
      <c r="G307">
        <v>4</v>
      </c>
      <c r="H307" s="1">
        <v>10.99</v>
      </c>
      <c r="I307" s="1">
        <v>43.96</v>
      </c>
      <c r="J307">
        <v>5</v>
      </c>
      <c r="K307" t="str">
        <f>TEXT(tbl_RawSales[[#This Row],[Order Date]],"mmm")</f>
        <v>Jun</v>
      </c>
      <c r="L307">
        <f>MONTH(tbl_RawSales[[#This Row],[Order Date]])</f>
        <v>6</v>
      </c>
      <c r="M307" t="str">
        <f>TEXT(tbl_RawSales[[#This Row],[Order Date]],"ddd")</f>
        <v>Fri</v>
      </c>
      <c r="N307">
        <f>WEEKDAY(tbl_RawSales[[#This Row],[Order Date]],2)</f>
        <v>5</v>
      </c>
    </row>
    <row r="308" spans="1:14" x14ac:dyDescent="0.25">
      <c r="A308" t="s">
        <v>358</v>
      </c>
      <c r="B308" s="20">
        <v>45989</v>
      </c>
      <c r="C308" t="s">
        <v>38</v>
      </c>
      <c r="D308" t="s">
        <v>12</v>
      </c>
      <c r="E308" t="s">
        <v>13</v>
      </c>
      <c r="F308" t="s">
        <v>14</v>
      </c>
      <c r="G308">
        <v>1</v>
      </c>
      <c r="H308" s="1">
        <v>18.989999999999998</v>
      </c>
      <c r="I308" s="1">
        <v>18.989999999999998</v>
      </c>
      <c r="J308">
        <v>5</v>
      </c>
      <c r="K308" t="str">
        <f>TEXT(tbl_RawSales[[#This Row],[Order Date]],"mmm")</f>
        <v>Nov</v>
      </c>
      <c r="L308">
        <f>MONTH(tbl_RawSales[[#This Row],[Order Date]])</f>
        <v>11</v>
      </c>
      <c r="M308" t="str">
        <f>TEXT(tbl_RawSales[[#This Row],[Order Date]],"ddd")</f>
        <v>Fri</v>
      </c>
      <c r="N308">
        <f>WEEKDAY(tbl_RawSales[[#This Row],[Order Date]],2)</f>
        <v>5</v>
      </c>
    </row>
    <row r="309" spans="1:14" x14ac:dyDescent="0.25">
      <c r="A309" t="s">
        <v>359</v>
      </c>
      <c r="B309" s="20">
        <v>45615</v>
      </c>
      <c r="C309" t="s">
        <v>45</v>
      </c>
      <c r="D309" t="s">
        <v>29</v>
      </c>
      <c r="E309" t="s">
        <v>41</v>
      </c>
      <c r="F309" t="s">
        <v>23</v>
      </c>
      <c r="G309">
        <v>1</v>
      </c>
      <c r="H309" s="1">
        <v>12.99</v>
      </c>
      <c r="I309" s="1">
        <v>12.99</v>
      </c>
      <c r="J309">
        <v>4</v>
      </c>
      <c r="K309" t="str">
        <f>TEXT(tbl_RawSales[[#This Row],[Order Date]],"mmm")</f>
        <v>Nov</v>
      </c>
      <c r="L309">
        <f>MONTH(tbl_RawSales[[#This Row],[Order Date]])</f>
        <v>11</v>
      </c>
      <c r="M309" t="str">
        <f>TEXT(tbl_RawSales[[#This Row],[Order Date]],"ddd")</f>
        <v>Tue</v>
      </c>
      <c r="N309">
        <f>WEEKDAY(tbl_RawSales[[#This Row],[Order Date]],2)</f>
        <v>2</v>
      </c>
    </row>
    <row r="310" spans="1:14" x14ac:dyDescent="0.25">
      <c r="A310" t="s">
        <v>360</v>
      </c>
      <c r="B310" s="20">
        <v>45387</v>
      </c>
      <c r="C310" t="s">
        <v>21</v>
      </c>
      <c r="D310" t="s">
        <v>17</v>
      </c>
      <c r="E310" t="s">
        <v>112</v>
      </c>
      <c r="F310" t="s">
        <v>19</v>
      </c>
      <c r="G310">
        <v>1</v>
      </c>
      <c r="H310" s="1">
        <v>5.99</v>
      </c>
      <c r="I310" s="1">
        <v>5.99</v>
      </c>
      <c r="J310">
        <v>4</v>
      </c>
      <c r="K310" t="str">
        <f>TEXT(tbl_RawSales[[#This Row],[Order Date]],"mmm")</f>
        <v>Apr</v>
      </c>
      <c r="L310">
        <f>MONTH(tbl_RawSales[[#This Row],[Order Date]])</f>
        <v>4</v>
      </c>
      <c r="M310" t="str">
        <f>TEXT(tbl_RawSales[[#This Row],[Order Date]],"ddd")</f>
        <v>Fri</v>
      </c>
      <c r="N310">
        <f>WEEKDAY(tbl_RawSales[[#This Row],[Order Date]],2)</f>
        <v>5</v>
      </c>
    </row>
    <row r="311" spans="1:14" x14ac:dyDescent="0.25">
      <c r="A311" t="s">
        <v>361</v>
      </c>
      <c r="B311" s="20">
        <v>45302</v>
      </c>
      <c r="C311" t="s">
        <v>38</v>
      </c>
      <c r="D311" t="s">
        <v>17</v>
      </c>
      <c r="E311" t="s">
        <v>176</v>
      </c>
      <c r="F311" t="s">
        <v>67</v>
      </c>
      <c r="G311">
        <v>1</v>
      </c>
      <c r="H311" s="1">
        <v>11.99</v>
      </c>
      <c r="I311" s="1">
        <v>11.99</v>
      </c>
      <c r="J311">
        <v>4</v>
      </c>
      <c r="K311" t="str">
        <f>TEXT(tbl_RawSales[[#This Row],[Order Date]],"mmm")</f>
        <v>Jan</v>
      </c>
      <c r="L311">
        <f>MONTH(tbl_RawSales[[#This Row],[Order Date]])</f>
        <v>1</v>
      </c>
      <c r="M311" t="str">
        <f>TEXT(tbl_RawSales[[#This Row],[Order Date]],"ddd")</f>
        <v>Thu</v>
      </c>
      <c r="N311">
        <f>WEEKDAY(tbl_RawSales[[#This Row],[Order Date]],2)</f>
        <v>4</v>
      </c>
    </row>
    <row r="312" spans="1:14" x14ac:dyDescent="0.25">
      <c r="A312" t="s">
        <v>362</v>
      </c>
      <c r="B312" s="20">
        <v>45619</v>
      </c>
      <c r="C312" t="s">
        <v>32</v>
      </c>
      <c r="D312" t="s">
        <v>29</v>
      </c>
      <c r="E312" t="s">
        <v>13</v>
      </c>
      <c r="F312" t="s">
        <v>14</v>
      </c>
      <c r="G312">
        <v>2</v>
      </c>
      <c r="H312" s="1">
        <v>18.989999999999998</v>
      </c>
      <c r="I312" s="1">
        <v>37.979999999999997</v>
      </c>
      <c r="J312">
        <v>4</v>
      </c>
      <c r="K312" t="str">
        <f>TEXT(tbl_RawSales[[#This Row],[Order Date]],"mmm")</f>
        <v>Nov</v>
      </c>
      <c r="L312">
        <f>MONTH(tbl_RawSales[[#This Row],[Order Date]])</f>
        <v>11</v>
      </c>
      <c r="M312" t="str">
        <f>TEXT(tbl_RawSales[[#This Row],[Order Date]],"ddd")</f>
        <v>Sat</v>
      </c>
      <c r="N312">
        <f>WEEKDAY(tbl_RawSales[[#This Row],[Order Date]],2)</f>
        <v>6</v>
      </c>
    </row>
    <row r="313" spans="1:14" x14ac:dyDescent="0.25">
      <c r="A313" t="s">
        <v>363</v>
      </c>
      <c r="B313" s="20">
        <v>45737</v>
      </c>
      <c r="C313" t="s">
        <v>25</v>
      </c>
      <c r="D313" t="s">
        <v>29</v>
      </c>
      <c r="E313" t="s">
        <v>30</v>
      </c>
      <c r="F313" t="s">
        <v>19</v>
      </c>
      <c r="G313">
        <v>4</v>
      </c>
      <c r="H313" s="1">
        <v>7.99</v>
      </c>
      <c r="I313" s="1">
        <v>31.96</v>
      </c>
      <c r="J313">
        <v>3</v>
      </c>
      <c r="K313" t="str">
        <f>TEXT(tbl_RawSales[[#This Row],[Order Date]],"mmm")</f>
        <v>Mar</v>
      </c>
      <c r="L313">
        <f>MONTH(tbl_RawSales[[#This Row],[Order Date]])</f>
        <v>3</v>
      </c>
      <c r="M313" t="str">
        <f>TEXT(tbl_RawSales[[#This Row],[Order Date]],"ddd")</f>
        <v>Fri</v>
      </c>
      <c r="N313">
        <f>WEEKDAY(tbl_RawSales[[#This Row],[Order Date]],2)</f>
        <v>5</v>
      </c>
    </row>
    <row r="314" spans="1:14" x14ac:dyDescent="0.25">
      <c r="A314" t="s">
        <v>364</v>
      </c>
      <c r="B314" s="20">
        <v>45372</v>
      </c>
      <c r="C314" t="s">
        <v>11</v>
      </c>
      <c r="D314" t="s">
        <v>17</v>
      </c>
      <c r="E314" t="s">
        <v>119</v>
      </c>
      <c r="F314" t="s">
        <v>19</v>
      </c>
      <c r="G314">
        <v>2</v>
      </c>
      <c r="H314" s="1">
        <v>4.99</v>
      </c>
      <c r="I314" s="1">
        <v>9.98</v>
      </c>
      <c r="J314">
        <v>4</v>
      </c>
      <c r="K314" t="str">
        <f>TEXT(tbl_RawSales[[#This Row],[Order Date]],"mmm")</f>
        <v>Mar</v>
      </c>
      <c r="L314">
        <f>MONTH(tbl_RawSales[[#This Row],[Order Date]])</f>
        <v>3</v>
      </c>
      <c r="M314" t="str">
        <f>TEXT(tbl_RawSales[[#This Row],[Order Date]],"ddd")</f>
        <v>Thu</v>
      </c>
      <c r="N314">
        <f>WEEKDAY(tbl_RawSales[[#This Row],[Order Date]],2)</f>
        <v>4</v>
      </c>
    </row>
    <row r="315" spans="1:14" x14ac:dyDescent="0.25">
      <c r="A315" t="s">
        <v>365</v>
      </c>
      <c r="B315" s="20">
        <v>45374</v>
      </c>
      <c r="C315" t="s">
        <v>28</v>
      </c>
      <c r="D315" t="s">
        <v>29</v>
      </c>
      <c r="E315" t="s">
        <v>142</v>
      </c>
      <c r="F315" t="s">
        <v>23</v>
      </c>
      <c r="G315">
        <v>2</v>
      </c>
      <c r="H315" s="1">
        <v>14.99</v>
      </c>
      <c r="I315" s="1">
        <v>29.98</v>
      </c>
      <c r="J315">
        <v>4</v>
      </c>
      <c r="K315" t="str">
        <f>TEXT(tbl_RawSales[[#This Row],[Order Date]],"mmm")</f>
        <v>Mar</v>
      </c>
      <c r="L315">
        <f>MONTH(tbl_RawSales[[#This Row],[Order Date]])</f>
        <v>3</v>
      </c>
      <c r="M315" t="str">
        <f>TEXT(tbl_RawSales[[#This Row],[Order Date]],"ddd")</f>
        <v>Sat</v>
      </c>
      <c r="N315">
        <f>WEEKDAY(tbl_RawSales[[#This Row],[Order Date]],2)</f>
        <v>6</v>
      </c>
    </row>
    <row r="316" spans="1:14" x14ac:dyDescent="0.25">
      <c r="A316" t="s">
        <v>366</v>
      </c>
      <c r="B316" s="20">
        <v>45529</v>
      </c>
      <c r="C316" t="s">
        <v>34</v>
      </c>
      <c r="D316" t="s">
        <v>12</v>
      </c>
      <c r="E316" t="s">
        <v>119</v>
      </c>
      <c r="F316" t="s">
        <v>19</v>
      </c>
      <c r="G316">
        <v>2</v>
      </c>
      <c r="H316" s="1">
        <v>4.99</v>
      </c>
      <c r="I316" s="1">
        <v>9.98</v>
      </c>
      <c r="J316">
        <v>3</v>
      </c>
      <c r="K316" t="str">
        <f>TEXT(tbl_RawSales[[#This Row],[Order Date]],"mmm")</f>
        <v>Aug</v>
      </c>
      <c r="L316">
        <f>MONTH(tbl_RawSales[[#This Row],[Order Date]])</f>
        <v>8</v>
      </c>
      <c r="M316" t="str">
        <f>TEXT(tbl_RawSales[[#This Row],[Order Date]],"ddd")</f>
        <v>Sun</v>
      </c>
      <c r="N316">
        <f>WEEKDAY(tbl_RawSales[[#This Row],[Order Date]],2)</f>
        <v>7</v>
      </c>
    </row>
    <row r="317" spans="1:14" x14ac:dyDescent="0.25">
      <c r="A317" t="s">
        <v>367</v>
      </c>
      <c r="B317" s="20">
        <v>45393</v>
      </c>
      <c r="C317" t="s">
        <v>11</v>
      </c>
      <c r="D317" t="s">
        <v>12</v>
      </c>
      <c r="E317" t="s">
        <v>57</v>
      </c>
      <c r="F317" t="s">
        <v>14</v>
      </c>
      <c r="G317">
        <v>3</v>
      </c>
      <c r="H317" s="1">
        <v>15.99</v>
      </c>
      <c r="I317" s="1">
        <v>47.97</v>
      </c>
      <c r="J317">
        <v>4</v>
      </c>
      <c r="K317" t="str">
        <f>TEXT(tbl_RawSales[[#This Row],[Order Date]],"mmm")</f>
        <v>Apr</v>
      </c>
      <c r="L317">
        <f>MONTH(tbl_RawSales[[#This Row],[Order Date]])</f>
        <v>4</v>
      </c>
      <c r="M317" t="str">
        <f>TEXT(tbl_RawSales[[#This Row],[Order Date]],"ddd")</f>
        <v>Thu</v>
      </c>
      <c r="N317">
        <f>WEEKDAY(tbl_RawSales[[#This Row],[Order Date]],2)</f>
        <v>4</v>
      </c>
    </row>
    <row r="318" spans="1:14" x14ac:dyDescent="0.25">
      <c r="A318" t="s">
        <v>368</v>
      </c>
      <c r="B318" s="20">
        <v>45974</v>
      </c>
      <c r="C318" t="s">
        <v>32</v>
      </c>
      <c r="D318" t="s">
        <v>12</v>
      </c>
      <c r="E318" t="s">
        <v>46</v>
      </c>
      <c r="F318" t="s">
        <v>14</v>
      </c>
      <c r="G318">
        <v>3</v>
      </c>
      <c r="H318" s="1">
        <v>32.99</v>
      </c>
      <c r="I318" s="1">
        <v>98.97</v>
      </c>
      <c r="J318">
        <v>2</v>
      </c>
      <c r="K318" t="str">
        <f>TEXT(tbl_RawSales[[#This Row],[Order Date]],"mmm")</f>
        <v>Nov</v>
      </c>
      <c r="L318">
        <f>MONTH(tbl_RawSales[[#This Row],[Order Date]])</f>
        <v>11</v>
      </c>
      <c r="M318" t="str">
        <f>TEXT(tbl_RawSales[[#This Row],[Order Date]],"ddd")</f>
        <v>Thu</v>
      </c>
      <c r="N318">
        <f>WEEKDAY(tbl_RawSales[[#This Row],[Order Date]],2)</f>
        <v>4</v>
      </c>
    </row>
    <row r="319" spans="1:14" x14ac:dyDescent="0.25">
      <c r="A319" t="s">
        <v>369</v>
      </c>
      <c r="B319" s="20">
        <v>45932</v>
      </c>
      <c r="C319" t="s">
        <v>97</v>
      </c>
      <c r="D319" t="s">
        <v>17</v>
      </c>
      <c r="E319" t="s">
        <v>39</v>
      </c>
      <c r="F319" t="s">
        <v>14</v>
      </c>
      <c r="G319">
        <v>1</v>
      </c>
      <c r="H319" s="1">
        <v>24.99</v>
      </c>
      <c r="I319" s="1">
        <v>24.99</v>
      </c>
      <c r="J319">
        <v>4</v>
      </c>
      <c r="K319" t="str">
        <f>TEXT(tbl_RawSales[[#This Row],[Order Date]],"mmm")</f>
        <v>Oct</v>
      </c>
      <c r="L319">
        <f>MONTH(tbl_RawSales[[#This Row],[Order Date]])</f>
        <v>10</v>
      </c>
      <c r="M319" t="str">
        <f>TEXT(tbl_RawSales[[#This Row],[Order Date]],"ddd")</f>
        <v>Thu</v>
      </c>
      <c r="N319">
        <f>WEEKDAY(tbl_RawSales[[#This Row],[Order Date]],2)</f>
        <v>4</v>
      </c>
    </row>
    <row r="320" spans="1:14" x14ac:dyDescent="0.25">
      <c r="A320" t="s">
        <v>370</v>
      </c>
      <c r="B320" s="20">
        <v>45753</v>
      </c>
      <c r="C320" t="s">
        <v>32</v>
      </c>
      <c r="D320" t="s">
        <v>29</v>
      </c>
      <c r="E320" t="s">
        <v>52</v>
      </c>
      <c r="F320" t="s">
        <v>19</v>
      </c>
      <c r="G320">
        <v>4</v>
      </c>
      <c r="H320" s="1">
        <v>6.99</v>
      </c>
      <c r="I320" s="1">
        <v>27.96</v>
      </c>
      <c r="J320">
        <v>4</v>
      </c>
      <c r="K320" t="str">
        <f>TEXT(tbl_RawSales[[#This Row],[Order Date]],"mmm")</f>
        <v>Apr</v>
      </c>
      <c r="L320">
        <f>MONTH(tbl_RawSales[[#This Row],[Order Date]])</f>
        <v>4</v>
      </c>
      <c r="M320" t="str">
        <f>TEXT(tbl_RawSales[[#This Row],[Order Date]],"ddd")</f>
        <v>Sun</v>
      </c>
      <c r="N320">
        <f>WEEKDAY(tbl_RawSales[[#This Row],[Order Date]],2)</f>
        <v>7</v>
      </c>
    </row>
    <row r="321" spans="1:14" x14ac:dyDescent="0.25">
      <c r="A321" t="s">
        <v>371</v>
      </c>
      <c r="B321" s="20">
        <v>45954</v>
      </c>
      <c r="C321" t="s">
        <v>11</v>
      </c>
      <c r="D321" t="s">
        <v>12</v>
      </c>
      <c r="E321" t="s">
        <v>22</v>
      </c>
      <c r="F321" t="s">
        <v>23</v>
      </c>
      <c r="G321">
        <v>1</v>
      </c>
      <c r="H321" s="1">
        <v>8.99</v>
      </c>
      <c r="I321" s="1">
        <v>8.99</v>
      </c>
      <c r="J321">
        <v>4</v>
      </c>
      <c r="K321" t="str">
        <f>TEXT(tbl_RawSales[[#This Row],[Order Date]],"mmm")</f>
        <v>Oct</v>
      </c>
      <c r="L321">
        <f>MONTH(tbl_RawSales[[#This Row],[Order Date]])</f>
        <v>10</v>
      </c>
      <c r="M321" t="str">
        <f>TEXT(tbl_RawSales[[#This Row],[Order Date]],"ddd")</f>
        <v>Fri</v>
      </c>
      <c r="N321">
        <f>WEEKDAY(tbl_RawSales[[#This Row],[Order Date]],2)</f>
        <v>5</v>
      </c>
    </row>
    <row r="322" spans="1:14" x14ac:dyDescent="0.25">
      <c r="A322" t="s">
        <v>372</v>
      </c>
      <c r="B322" s="20">
        <v>45851</v>
      </c>
      <c r="C322" t="s">
        <v>32</v>
      </c>
      <c r="D322" t="s">
        <v>29</v>
      </c>
      <c r="E322" t="s">
        <v>18</v>
      </c>
      <c r="F322" t="s">
        <v>19</v>
      </c>
      <c r="G322">
        <v>4</v>
      </c>
      <c r="H322" s="1">
        <v>9.99</v>
      </c>
      <c r="I322" s="1">
        <v>39.96</v>
      </c>
      <c r="J322">
        <v>4</v>
      </c>
      <c r="K322" t="str">
        <f>TEXT(tbl_RawSales[[#This Row],[Order Date]],"mmm")</f>
        <v>Jul</v>
      </c>
      <c r="L322">
        <f>MONTH(tbl_RawSales[[#This Row],[Order Date]])</f>
        <v>7</v>
      </c>
      <c r="M322" t="str">
        <f>TEXT(tbl_RawSales[[#This Row],[Order Date]],"ddd")</f>
        <v>Sun</v>
      </c>
      <c r="N322">
        <f>WEEKDAY(tbl_RawSales[[#This Row],[Order Date]],2)</f>
        <v>7</v>
      </c>
    </row>
    <row r="323" spans="1:14" x14ac:dyDescent="0.25">
      <c r="A323" t="s">
        <v>373</v>
      </c>
      <c r="B323" s="20">
        <v>45729</v>
      </c>
      <c r="C323" t="s">
        <v>34</v>
      </c>
      <c r="D323" t="s">
        <v>29</v>
      </c>
      <c r="E323" t="s">
        <v>50</v>
      </c>
      <c r="F323" t="s">
        <v>14</v>
      </c>
      <c r="G323">
        <v>2</v>
      </c>
      <c r="H323" s="1">
        <v>22.99</v>
      </c>
      <c r="I323" s="1">
        <v>45.98</v>
      </c>
      <c r="J323">
        <v>5</v>
      </c>
      <c r="K323" t="str">
        <f>TEXT(tbl_RawSales[[#This Row],[Order Date]],"mmm")</f>
        <v>Mar</v>
      </c>
      <c r="L323">
        <f>MONTH(tbl_RawSales[[#This Row],[Order Date]])</f>
        <v>3</v>
      </c>
      <c r="M323" t="str">
        <f>TEXT(tbl_RawSales[[#This Row],[Order Date]],"ddd")</f>
        <v>Thu</v>
      </c>
      <c r="N323">
        <f>WEEKDAY(tbl_RawSales[[#This Row],[Order Date]],2)</f>
        <v>4</v>
      </c>
    </row>
    <row r="324" spans="1:14" x14ac:dyDescent="0.25">
      <c r="A324" t="s">
        <v>374</v>
      </c>
      <c r="B324" s="20">
        <v>45786</v>
      </c>
      <c r="C324" t="s">
        <v>45</v>
      </c>
      <c r="D324" t="s">
        <v>12</v>
      </c>
      <c r="E324" t="s">
        <v>74</v>
      </c>
      <c r="F324" t="s">
        <v>14</v>
      </c>
      <c r="G324">
        <v>1</v>
      </c>
      <c r="H324" s="1">
        <v>14.99</v>
      </c>
      <c r="I324" s="1">
        <v>14.99</v>
      </c>
      <c r="J324">
        <v>3</v>
      </c>
      <c r="K324" t="str">
        <f>TEXT(tbl_RawSales[[#This Row],[Order Date]],"mmm")</f>
        <v>May</v>
      </c>
      <c r="L324">
        <f>MONTH(tbl_RawSales[[#This Row],[Order Date]])</f>
        <v>5</v>
      </c>
      <c r="M324" t="str">
        <f>TEXT(tbl_RawSales[[#This Row],[Order Date]],"ddd")</f>
        <v>Fri</v>
      </c>
      <c r="N324">
        <f>WEEKDAY(tbl_RawSales[[#This Row],[Order Date]],2)</f>
        <v>5</v>
      </c>
    </row>
    <row r="325" spans="1:14" x14ac:dyDescent="0.25">
      <c r="A325" t="s">
        <v>375</v>
      </c>
      <c r="B325" s="20">
        <v>45788</v>
      </c>
      <c r="C325" t="s">
        <v>32</v>
      </c>
      <c r="D325" t="s">
        <v>12</v>
      </c>
      <c r="E325" t="s">
        <v>112</v>
      </c>
      <c r="F325" t="s">
        <v>19</v>
      </c>
      <c r="G325">
        <v>1</v>
      </c>
      <c r="H325" s="1">
        <v>5.99</v>
      </c>
      <c r="I325" s="1">
        <v>5.99</v>
      </c>
      <c r="J325">
        <v>4</v>
      </c>
      <c r="K325" t="str">
        <f>TEXT(tbl_RawSales[[#This Row],[Order Date]],"mmm")</f>
        <v>May</v>
      </c>
      <c r="L325">
        <f>MONTH(tbl_RawSales[[#This Row],[Order Date]])</f>
        <v>5</v>
      </c>
      <c r="M325" t="str">
        <f>TEXT(tbl_RawSales[[#This Row],[Order Date]],"ddd")</f>
        <v>Sun</v>
      </c>
      <c r="N325">
        <f>WEEKDAY(tbl_RawSales[[#This Row],[Order Date]],2)</f>
        <v>7</v>
      </c>
    </row>
    <row r="326" spans="1:14" x14ac:dyDescent="0.25">
      <c r="A326" t="s">
        <v>376</v>
      </c>
      <c r="B326" s="20">
        <v>45560</v>
      </c>
      <c r="C326" t="s">
        <v>16</v>
      </c>
      <c r="D326" t="s">
        <v>17</v>
      </c>
      <c r="E326" t="s">
        <v>46</v>
      </c>
      <c r="F326" t="s">
        <v>14</v>
      </c>
      <c r="G326">
        <v>2</v>
      </c>
      <c r="H326" s="1">
        <v>32.99</v>
      </c>
      <c r="I326" s="1">
        <v>65.98</v>
      </c>
      <c r="J326">
        <v>4</v>
      </c>
      <c r="K326" t="str">
        <f>TEXT(tbl_RawSales[[#This Row],[Order Date]],"mmm")</f>
        <v>Sept</v>
      </c>
      <c r="L326">
        <f>MONTH(tbl_RawSales[[#This Row],[Order Date]])</f>
        <v>9</v>
      </c>
      <c r="M326" t="str">
        <f>TEXT(tbl_RawSales[[#This Row],[Order Date]],"ddd")</f>
        <v>Wed</v>
      </c>
      <c r="N326">
        <f>WEEKDAY(tbl_RawSales[[#This Row],[Order Date]],2)</f>
        <v>3</v>
      </c>
    </row>
    <row r="327" spans="1:14" x14ac:dyDescent="0.25">
      <c r="A327" t="s">
        <v>377</v>
      </c>
      <c r="B327" s="20">
        <v>45478</v>
      </c>
      <c r="C327" t="s">
        <v>28</v>
      </c>
      <c r="D327" t="s">
        <v>17</v>
      </c>
      <c r="E327" t="s">
        <v>83</v>
      </c>
      <c r="F327" t="s">
        <v>14</v>
      </c>
      <c r="G327">
        <v>3</v>
      </c>
      <c r="H327" s="1">
        <v>17.989999999999998</v>
      </c>
      <c r="I327" s="1">
        <v>53.97</v>
      </c>
      <c r="J327">
        <v>5</v>
      </c>
      <c r="K327" t="str">
        <f>TEXT(tbl_RawSales[[#This Row],[Order Date]],"mmm")</f>
        <v>Jul</v>
      </c>
      <c r="L327">
        <f>MONTH(tbl_RawSales[[#This Row],[Order Date]])</f>
        <v>7</v>
      </c>
      <c r="M327" t="str">
        <f>TEXT(tbl_RawSales[[#This Row],[Order Date]],"ddd")</f>
        <v>Fri</v>
      </c>
      <c r="N327">
        <f>WEEKDAY(tbl_RawSales[[#This Row],[Order Date]],2)</f>
        <v>5</v>
      </c>
    </row>
    <row r="328" spans="1:14" x14ac:dyDescent="0.25">
      <c r="A328" t="s">
        <v>378</v>
      </c>
      <c r="B328" s="20">
        <v>45872</v>
      </c>
      <c r="C328" t="s">
        <v>11</v>
      </c>
      <c r="D328" t="s">
        <v>29</v>
      </c>
      <c r="E328" t="s">
        <v>55</v>
      </c>
      <c r="F328" t="s">
        <v>23</v>
      </c>
      <c r="G328">
        <v>2</v>
      </c>
      <c r="H328" s="1">
        <v>10.99</v>
      </c>
      <c r="I328" s="1">
        <v>21.98</v>
      </c>
      <c r="J328">
        <v>3</v>
      </c>
      <c r="K328" t="str">
        <f>TEXT(tbl_RawSales[[#This Row],[Order Date]],"mmm")</f>
        <v>Aug</v>
      </c>
      <c r="L328">
        <f>MONTH(tbl_RawSales[[#This Row],[Order Date]])</f>
        <v>8</v>
      </c>
      <c r="M328" t="str">
        <f>TEXT(tbl_RawSales[[#This Row],[Order Date]],"ddd")</f>
        <v>Sun</v>
      </c>
      <c r="N328">
        <f>WEEKDAY(tbl_RawSales[[#This Row],[Order Date]],2)</f>
        <v>7</v>
      </c>
    </row>
    <row r="329" spans="1:14" x14ac:dyDescent="0.25">
      <c r="A329" t="s">
        <v>379</v>
      </c>
      <c r="B329" s="20">
        <v>45301</v>
      </c>
      <c r="C329" t="s">
        <v>16</v>
      </c>
      <c r="D329" t="s">
        <v>12</v>
      </c>
      <c r="E329" t="s">
        <v>13</v>
      </c>
      <c r="F329" t="s">
        <v>14</v>
      </c>
      <c r="G329">
        <v>2</v>
      </c>
      <c r="H329" s="1">
        <v>18.989999999999998</v>
      </c>
      <c r="I329" s="1">
        <v>37.979999999999997</v>
      </c>
      <c r="J329">
        <v>4</v>
      </c>
      <c r="K329" t="str">
        <f>TEXT(tbl_RawSales[[#This Row],[Order Date]],"mmm")</f>
        <v>Jan</v>
      </c>
      <c r="L329">
        <f>MONTH(tbl_RawSales[[#This Row],[Order Date]])</f>
        <v>1</v>
      </c>
      <c r="M329" t="str">
        <f>TEXT(tbl_RawSales[[#This Row],[Order Date]],"ddd")</f>
        <v>Wed</v>
      </c>
      <c r="N329">
        <f>WEEKDAY(tbl_RawSales[[#This Row],[Order Date]],2)</f>
        <v>3</v>
      </c>
    </row>
    <row r="330" spans="1:14" x14ac:dyDescent="0.25">
      <c r="A330" t="s">
        <v>380</v>
      </c>
      <c r="B330" s="20">
        <v>45730</v>
      </c>
      <c r="C330" t="s">
        <v>38</v>
      </c>
      <c r="D330" t="s">
        <v>12</v>
      </c>
      <c r="E330" t="s">
        <v>57</v>
      </c>
      <c r="F330" t="s">
        <v>14</v>
      </c>
      <c r="G330">
        <v>1</v>
      </c>
      <c r="H330" s="1">
        <v>15.99</v>
      </c>
      <c r="I330" s="1">
        <v>15.99</v>
      </c>
      <c r="J330">
        <v>3</v>
      </c>
      <c r="K330" t="str">
        <f>TEXT(tbl_RawSales[[#This Row],[Order Date]],"mmm")</f>
        <v>Mar</v>
      </c>
      <c r="L330">
        <f>MONTH(tbl_RawSales[[#This Row],[Order Date]])</f>
        <v>3</v>
      </c>
      <c r="M330" t="str">
        <f>TEXT(tbl_RawSales[[#This Row],[Order Date]],"ddd")</f>
        <v>Fri</v>
      </c>
      <c r="N330">
        <f>WEEKDAY(tbl_RawSales[[#This Row],[Order Date]],2)</f>
        <v>5</v>
      </c>
    </row>
    <row r="331" spans="1:14" x14ac:dyDescent="0.25">
      <c r="A331" t="s">
        <v>381</v>
      </c>
      <c r="B331" s="20">
        <v>45902</v>
      </c>
      <c r="C331" t="s">
        <v>97</v>
      </c>
      <c r="D331" t="s">
        <v>12</v>
      </c>
      <c r="E331" t="s">
        <v>13</v>
      </c>
      <c r="F331" t="s">
        <v>14</v>
      </c>
      <c r="G331">
        <v>2</v>
      </c>
      <c r="H331" s="1">
        <v>18.989999999999998</v>
      </c>
      <c r="I331" s="1">
        <v>37.979999999999997</v>
      </c>
      <c r="J331">
        <v>5</v>
      </c>
      <c r="K331" t="str">
        <f>TEXT(tbl_RawSales[[#This Row],[Order Date]],"mmm")</f>
        <v>Sept</v>
      </c>
      <c r="L331">
        <f>MONTH(tbl_RawSales[[#This Row],[Order Date]])</f>
        <v>9</v>
      </c>
      <c r="M331" t="str">
        <f>TEXT(tbl_RawSales[[#This Row],[Order Date]],"ddd")</f>
        <v>Tue</v>
      </c>
      <c r="N331">
        <f>WEEKDAY(tbl_RawSales[[#This Row],[Order Date]],2)</f>
        <v>2</v>
      </c>
    </row>
    <row r="332" spans="1:14" x14ac:dyDescent="0.25">
      <c r="A332" t="s">
        <v>382</v>
      </c>
      <c r="B332" s="20">
        <v>45806</v>
      </c>
      <c r="C332" t="s">
        <v>16</v>
      </c>
      <c r="D332" t="s">
        <v>29</v>
      </c>
      <c r="E332" t="s">
        <v>79</v>
      </c>
      <c r="F332" t="s">
        <v>67</v>
      </c>
      <c r="G332">
        <v>2</v>
      </c>
      <c r="H332" s="1">
        <v>10.99</v>
      </c>
      <c r="I332" s="1">
        <v>21.98</v>
      </c>
      <c r="J332">
        <v>4</v>
      </c>
      <c r="K332" t="str">
        <f>TEXT(tbl_RawSales[[#This Row],[Order Date]],"mmm")</f>
        <v>May</v>
      </c>
      <c r="L332">
        <f>MONTH(tbl_RawSales[[#This Row],[Order Date]])</f>
        <v>5</v>
      </c>
      <c r="M332" t="str">
        <f>TEXT(tbl_RawSales[[#This Row],[Order Date]],"ddd")</f>
        <v>Thu</v>
      </c>
      <c r="N332">
        <f>WEEKDAY(tbl_RawSales[[#This Row],[Order Date]],2)</f>
        <v>4</v>
      </c>
    </row>
    <row r="333" spans="1:14" x14ac:dyDescent="0.25">
      <c r="A333" t="s">
        <v>383</v>
      </c>
      <c r="B333" s="20">
        <v>45737</v>
      </c>
      <c r="C333" t="s">
        <v>25</v>
      </c>
      <c r="D333" t="s">
        <v>29</v>
      </c>
      <c r="E333" t="s">
        <v>22</v>
      </c>
      <c r="F333" t="s">
        <v>23</v>
      </c>
      <c r="G333">
        <v>1</v>
      </c>
      <c r="H333" s="1">
        <v>8.99</v>
      </c>
      <c r="I333" s="1">
        <v>8.99</v>
      </c>
      <c r="J333">
        <v>5</v>
      </c>
      <c r="K333" t="str">
        <f>TEXT(tbl_RawSales[[#This Row],[Order Date]],"mmm")</f>
        <v>Mar</v>
      </c>
      <c r="L333">
        <f>MONTH(tbl_RawSales[[#This Row],[Order Date]])</f>
        <v>3</v>
      </c>
      <c r="M333" t="str">
        <f>TEXT(tbl_RawSales[[#This Row],[Order Date]],"ddd")</f>
        <v>Fri</v>
      </c>
      <c r="N333">
        <f>WEEKDAY(tbl_RawSales[[#This Row],[Order Date]],2)</f>
        <v>5</v>
      </c>
    </row>
    <row r="334" spans="1:14" x14ac:dyDescent="0.25">
      <c r="A334" t="s">
        <v>384</v>
      </c>
      <c r="B334" s="20">
        <v>45953</v>
      </c>
      <c r="C334" t="s">
        <v>25</v>
      </c>
      <c r="D334" t="s">
        <v>29</v>
      </c>
      <c r="E334" t="s">
        <v>57</v>
      </c>
      <c r="F334" t="s">
        <v>14</v>
      </c>
      <c r="G334">
        <v>1</v>
      </c>
      <c r="H334" s="1">
        <v>15.99</v>
      </c>
      <c r="I334" s="1">
        <v>15.99</v>
      </c>
      <c r="J334">
        <v>4</v>
      </c>
      <c r="K334" t="str">
        <f>TEXT(tbl_RawSales[[#This Row],[Order Date]],"mmm")</f>
        <v>Oct</v>
      </c>
      <c r="L334">
        <f>MONTH(tbl_RawSales[[#This Row],[Order Date]])</f>
        <v>10</v>
      </c>
      <c r="M334" t="str">
        <f>TEXT(tbl_RawSales[[#This Row],[Order Date]],"ddd")</f>
        <v>Thu</v>
      </c>
      <c r="N334">
        <f>WEEKDAY(tbl_RawSales[[#This Row],[Order Date]],2)</f>
        <v>4</v>
      </c>
    </row>
    <row r="335" spans="1:14" x14ac:dyDescent="0.25">
      <c r="A335" t="s">
        <v>385</v>
      </c>
      <c r="B335" s="20">
        <v>45648</v>
      </c>
      <c r="C335" t="s">
        <v>34</v>
      </c>
      <c r="D335" t="s">
        <v>17</v>
      </c>
      <c r="E335" t="s">
        <v>221</v>
      </c>
      <c r="F335" t="s">
        <v>67</v>
      </c>
      <c r="G335">
        <v>2</v>
      </c>
      <c r="H335" s="1">
        <v>9.99</v>
      </c>
      <c r="I335" s="1">
        <v>19.98</v>
      </c>
      <c r="J335">
        <v>5</v>
      </c>
      <c r="K335" t="str">
        <f>TEXT(tbl_RawSales[[#This Row],[Order Date]],"mmm")</f>
        <v>Dec</v>
      </c>
      <c r="L335">
        <f>MONTH(tbl_RawSales[[#This Row],[Order Date]])</f>
        <v>12</v>
      </c>
      <c r="M335" t="str">
        <f>TEXT(tbl_RawSales[[#This Row],[Order Date]],"ddd")</f>
        <v>Sun</v>
      </c>
      <c r="N335">
        <f>WEEKDAY(tbl_RawSales[[#This Row],[Order Date]],2)</f>
        <v>7</v>
      </c>
    </row>
    <row r="336" spans="1:14" x14ac:dyDescent="0.25">
      <c r="A336" t="s">
        <v>386</v>
      </c>
      <c r="B336" s="20">
        <v>45986</v>
      </c>
      <c r="C336" t="s">
        <v>45</v>
      </c>
      <c r="D336" t="s">
        <v>12</v>
      </c>
      <c r="E336" t="s">
        <v>142</v>
      </c>
      <c r="F336" t="s">
        <v>23</v>
      </c>
      <c r="G336">
        <v>1</v>
      </c>
      <c r="H336" s="1">
        <v>14.99</v>
      </c>
      <c r="I336" s="1">
        <v>14.99</v>
      </c>
      <c r="J336">
        <v>3</v>
      </c>
      <c r="K336" t="str">
        <f>TEXT(tbl_RawSales[[#This Row],[Order Date]],"mmm")</f>
        <v>Nov</v>
      </c>
      <c r="L336">
        <f>MONTH(tbl_RawSales[[#This Row],[Order Date]])</f>
        <v>11</v>
      </c>
      <c r="M336" t="str">
        <f>TEXT(tbl_RawSales[[#This Row],[Order Date]],"ddd")</f>
        <v>Tue</v>
      </c>
      <c r="N336">
        <f>WEEKDAY(tbl_RawSales[[#This Row],[Order Date]],2)</f>
        <v>2</v>
      </c>
    </row>
    <row r="337" spans="1:14" x14ac:dyDescent="0.25">
      <c r="A337" t="s">
        <v>387</v>
      </c>
      <c r="B337" s="20">
        <v>45443</v>
      </c>
      <c r="C337" t="s">
        <v>38</v>
      </c>
      <c r="D337" t="s">
        <v>17</v>
      </c>
      <c r="E337" t="s">
        <v>46</v>
      </c>
      <c r="F337" t="s">
        <v>14</v>
      </c>
      <c r="G337">
        <v>3</v>
      </c>
      <c r="H337" s="1">
        <v>32.99</v>
      </c>
      <c r="I337" s="1">
        <v>98.97</v>
      </c>
      <c r="J337">
        <v>4</v>
      </c>
      <c r="K337" t="str">
        <f>TEXT(tbl_RawSales[[#This Row],[Order Date]],"mmm")</f>
        <v>May</v>
      </c>
      <c r="L337">
        <f>MONTH(tbl_RawSales[[#This Row],[Order Date]])</f>
        <v>5</v>
      </c>
      <c r="M337" t="str">
        <f>TEXT(tbl_RawSales[[#This Row],[Order Date]],"ddd")</f>
        <v>Fri</v>
      </c>
      <c r="N337">
        <f>WEEKDAY(tbl_RawSales[[#This Row],[Order Date]],2)</f>
        <v>5</v>
      </c>
    </row>
    <row r="338" spans="1:14" x14ac:dyDescent="0.25">
      <c r="A338" t="s">
        <v>388</v>
      </c>
      <c r="B338" s="20">
        <v>45954</v>
      </c>
      <c r="C338" t="s">
        <v>25</v>
      </c>
      <c r="D338" t="s">
        <v>29</v>
      </c>
      <c r="E338" t="s">
        <v>36</v>
      </c>
      <c r="F338" t="s">
        <v>14</v>
      </c>
      <c r="G338">
        <v>1</v>
      </c>
      <c r="H338" s="1">
        <v>16.989999999999998</v>
      </c>
      <c r="I338" s="1">
        <v>16.989999999999998</v>
      </c>
      <c r="J338">
        <v>4</v>
      </c>
      <c r="K338" t="str">
        <f>TEXT(tbl_RawSales[[#This Row],[Order Date]],"mmm")</f>
        <v>Oct</v>
      </c>
      <c r="L338">
        <f>MONTH(tbl_RawSales[[#This Row],[Order Date]])</f>
        <v>10</v>
      </c>
      <c r="M338" t="str">
        <f>TEXT(tbl_RawSales[[#This Row],[Order Date]],"ddd")</f>
        <v>Fri</v>
      </c>
      <c r="N338">
        <f>WEEKDAY(tbl_RawSales[[#This Row],[Order Date]],2)</f>
        <v>5</v>
      </c>
    </row>
    <row r="339" spans="1:14" x14ac:dyDescent="0.25">
      <c r="A339" t="s">
        <v>389</v>
      </c>
      <c r="B339" s="20">
        <v>45646</v>
      </c>
      <c r="C339" t="s">
        <v>21</v>
      </c>
      <c r="D339" t="s">
        <v>29</v>
      </c>
      <c r="E339" t="s">
        <v>79</v>
      </c>
      <c r="F339" t="s">
        <v>67</v>
      </c>
      <c r="G339">
        <v>4</v>
      </c>
      <c r="H339" s="1">
        <v>10.99</v>
      </c>
      <c r="I339" s="1">
        <v>43.96</v>
      </c>
      <c r="J339">
        <v>4</v>
      </c>
      <c r="K339" t="str">
        <f>TEXT(tbl_RawSales[[#This Row],[Order Date]],"mmm")</f>
        <v>Dec</v>
      </c>
      <c r="L339">
        <f>MONTH(tbl_RawSales[[#This Row],[Order Date]])</f>
        <v>12</v>
      </c>
      <c r="M339" t="str">
        <f>TEXT(tbl_RawSales[[#This Row],[Order Date]],"ddd")</f>
        <v>Fri</v>
      </c>
      <c r="N339">
        <f>WEEKDAY(tbl_RawSales[[#This Row],[Order Date]],2)</f>
        <v>5</v>
      </c>
    </row>
    <row r="340" spans="1:14" x14ac:dyDescent="0.25">
      <c r="A340" t="s">
        <v>390</v>
      </c>
      <c r="B340" s="20">
        <v>45422</v>
      </c>
      <c r="C340" t="s">
        <v>45</v>
      </c>
      <c r="D340" t="s">
        <v>12</v>
      </c>
      <c r="E340" t="s">
        <v>83</v>
      </c>
      <c r="F340" t="s">
        <v>14</v>
      </c>
      <c r="G340">
        <v>1</v>
      </c>
      <c r="H340" s="1">
        <v>17.989999999999998</v>
      </c>
      <c r="I340" s="1">
        <v>17.989999999999998</v>
      </c>
      <c r="J340">
        <v>5</v>
      </c>
      <c r="K340" t="str">
        <f>TEXT(tbl_RawSales[[#This Row],[Order Date]],"mmm")</f>
        <v>May</v>
      </c>
      <c r="L340">
        <f>MONTH(tbl_RawSales[[#This Row],[Order Date]])</f>
        <v>5</v>
      </c>
      <c r="M340" t="str">
        <f>TEXT(tbl_RawSales[[#This Row],[Order Date]],"ddd")</f>
        <v>Fri</v>
      </c>
      <c r="N340">
        <f>WEEKDAY(tbl_RawSales[[#This Row],[Order Date]],2)</f>
        <v>5</v>
      </c>
    </row>
    <row r="341" spans="1:14" x14ac:dyDescent="0.25">
      <c r="A341" t="s">
        <v>391</v>
      </c>
      <c r="B341" s="20">
        <v>45766</v>
      </c>
      <c r="C341" t="s">
        <v>28</v>
      </c>
      <c r="D341" t="s">
        <v>12</v>
      </c>
      <c r="E341" t="s">
        <v>30</v>
      </c>
      <c r="F341" t="s">
        <v>19</v>
      </c>
      <c r="G341">
        <v>2</v>
      </c>
      <c r="H341" s="1">
        <v>7.99</v>
      </c>
      <c r="I341" s="1">
        <v>15.98</v>
      </c>
      <c r="J341">
        <v>2</v>
      </c>
      <c r="K341" t="str">
        <f>TEXT(tbl_RawSales[[#This Row],[Order Date]],"mmm")</f>
        <v>Apr</v>
      </c>
      <c r="L341">
        <f>MONTH(tbl_RawSales[[#This Row],[Order Date]])</f>
        <v>4</v>
      </c>
      <c r="M341" t="str">
        <f>TEXT(tbl_RawSales[[#This Row],[Order Date]],"ddd")</f>
        <v>Sat</v>
      </c>
      <c r="N341">
        <f>WEEKDAY(tbl_RawSales[[#This Row],[Order Date]],2)</f>
        <v>6</v>
      </c>
    </row>
    <row r="342" spans="1:14" x14ac:dyDescent="0.25">
      <c r="A342" t="s">
        <v>392</v>
      </c>
      <c r="B342" s="20">
        <v>45472</v>
      </c>
      <c r="C342" t="s">
        <v>16</v>
      </c>
      <c r="D342" t="s">
        <v>29</v>
      </c>
      <c r="E342" t="s">
        <v>119</v>
      </c>
      <c r="F342" t="s">
        <v>19</v>
      </c>
      <c r="G342">
        <v>1</v>
      </c>
      <c r="H342" s="1">
        <v>4.99</v>
      </c>
      <c r="I342" s="1">
        <v>4.99</v>
      </c>
      <c r="J342">
        <v>3</v>
      </c>
      <c r="K342" t="str">
        <f>TEXT(tbl_RawSales[[#This Row],[Order Date]],"mmm")</f>
        <v>Jun</v>
      </c>
      <c r="L342">
        <f>MONTH(tbl_RawSales[[#This Row],[Order Date]])</f>
        <v>6</v>
      </c>
      <c r="M342" t="str">
        <f>TEXT(tbl_RawSales[[#This Row],[Order Date]],"ddd")</f>
        <v>Sat</v>
      </c>
      <c r="N342">
        <f>WEEKDAY(tbl_RawSales[[#This Row],[Order Date]],2)</f>
        <v>6</v>
      </c>
    </row>
    <row r="343" spans="1:14" x14ac:dyDescent="0.25">
      <c r="A343" t="s">
        <v>393</v>
      </c>
      <c r="B343" s="20">
        <v>45828</v>
      </c>
      <c r="C343" t="s">
        <v>21</v>
      </c>
      <c r="D343" t="s">
        <v>29</v>
      </c>
      <c r="E343" t="s">
        <v>13</v>
      </c>
      <c r="F343" t="s">
        <v>14</v>
      </c>
      <c r="G343">
        <v>2</v>
      </c>
      <c r="H343" s="1">
        <v>18.989999999999998</v>
      </c>
      <c r="I343" s="1">
        <v>37.979999999999997</v>
      </c>
      <c r="J343">
        <v>3</v>
      </c>
      <c r="K343" t="str">
        <f>TEXT(tbl_RawSales[[#This Row],[Order Date]],"mmm")</f>
        <v>Jun</v>
      </c>
      <c r="L343">
        <f>MONTH(tbl_RawSales[[#This Row],[Order Date]])</f>
        <v>6</v>
      </c>
      <c r="M343" t="str">
        <f>TEXT(tbl_RawSales[[#This Row],[Order Date]],"ddd")</f>
        <v>Fri</v>
      </c>
      <c r="N343">
        <f>WEEKDAY(tbl_RawSales[[#This Row],[Order Date]],2)</f>
        <v>5</v>
      </c>
    </row>
    <row r="344" spans="1:14" x14ac:dyDescent="0.25">
      <c r="A344" t="s">
        <v>394</v>
      </c>
      <c r="B344" s="20">
        <v>45716</v>
      </c>
      <c r="C344" t="s">
        <v>45</v>
      </c>
      <c r="D344" t="s">
        <v>29</v>
      </c>
      <c r="E344" t="s">
        <v>39</v>
      </c>
      <c r="F344" t="s">
        <v>14</v>
      </c>
      <c r="G344">
        <v>1</v>
      </c>
      <c r="H344" s="1">
        <v>24.99</v>
      </c>
      <c r="I344" s="1">
        <v>24.99</v>
      </c>
      <c r="J344">
        <v>3</v>
      </c>
      <c r="K344" t="str">
        <f>TEXT(tbl_RawSales[[#This Row],[Order Date]],"mmm")</f>
        <v>Feb</v>
      </c>
      <c r="L344">
        <f>MONTH(tbl_RawSales[[#This Row],[Order Date]])</f>
        <v>2</v>
      </c>
      <c r="M344" t="str">
        <f>TEXT(tbl_RawSales[[#This Row],[Order Date]],"ddd")</f>
        <v>Fri</v>
      </c>
      <c r="N344">
        <f>WEEKDAY(tbl_RawSales[[#This Row],[Order Date]],2)</f>
        <v>5</v>
      </c>
    </row>
    <row r="345" spans="1:14" x14ac:dyDescent="0.25">
      <c r="A345" t="s">
        <v>395</v>
      </c>
      <c r="B345" s="20">
        <v>45618</v>
      </c>
      <c r="C345" t="s">
        <v>21</v>
      </c>
      <c r="D345" t="s">
        <v>17</v>
      </c>
      <c r="E345" t="s">
        <v>142</v>
      </c>
      <c r="F345" t="s">
        <v>23</v>
      </c>
      <c r="G345">
        <v>1</v>
      </c>
      <c r="H345" s="1">
        <v>14.99</v>
      </c>
      <c r="I345" s="1">
        <v>14.99</v>
      </c>
      <c r="J345">
        <v>3</v>
      </c>
      <c r="K345" t="str">
        <f>TEXT(tbl_RawSales[[#This Row],[Order Date]],"mmm")</f>
        <v>Nov</v>
      </c>
      <c r="L345">
        <f>MONTH(tbl_RawSales[[#This Row],[Order Date]])</f>
        <v>11</v>
      </c>
      <c r="M345" t="str">
        <f>TEXT(tbl_RawSales[[#This Row],[Order Date]],"ddd")</f>
        <v>Fri</v>
      </c>
      <c r="N345">
        <f>WEEKDAY(tbl_RawSales[[#This Row],[Order Date]],2)</f>
        <v>5</v>
      </c>
    </row>
    <row r="346" spans="1:14" x14ac:dyDescent="0.25">
      <c r="A346" t="s">
        <v>396</v>
      </c>
      <c r="B346" s="20">
        <v>45387</v>
      </c>
      <c r="C346" t="s">
        <v>97</v>
      </c>
      <c r="D346" t="s">
        <v>12</v>
      </c>
      <c r="E346" t="s">
        <v>41</v>
      </c>
      <c r="F346" t="s">
        <v>23</v>
      </c>
      <c r="G346">
        <v>1</v>
      </c>
      <c r="H346" s="1">
        <v>12.99</v>
      </c>
      <c r="I346" s="1">
        <v>12.99</v>
      </c>
      <c r="J346">
        <v>5</v>
      </c>
      <c r="K346" t="str">
        <f>TEXT(tbl_RawSales[[#This Row],[Order Date]],"mmm")</f>
        <v>Apr</v>
      </c>
      <c r="L346">
        <f>MONTH(tbl_RawSales[[#This Row],[Order Date]])</f>
        <v>4</v>
      </c>
      <c r="M346" t="str">
        <f>TEXT(tbl_RawSales[[#This Row],[Order Date]],"ddd")</f>
        <v>Fri</v>
      </c>
      <c r="N346">
        <f>WEEKDAY(tbl_RawSales[[#This Row],[Order Date]],2)</f>
        <v>5</v>
      </c>
    </row>
    <row r="347" spans="1:14" x14ac:dyDescent="0.25">
      <c r="A347" t="s">
        <v>397</v>
      </c>
      <c r="B347" s="20">
        <v>45590</v>
      </c>
      <c r="C347" t="s">
        <v>16</v>
      </c>
      <c r="D347" t="s">
        <v>29</v>
      </c>
      <c r="E347" t="s">
        <v>22</v>
      </c>
      <c r="F347" t="s">
        <v>23</v>
      </c>
      <c r="G347">
        <v>2</v>
      </c>
      <c r="H347" s="1">
        <v>8.99</v>
      </c>
      <c r="I347" s="1">
        <v>17.98</v>
      </c>
      <c r="J347">
        <v>4</v>
      </c>
      <c r="K347" t="str">
        <f>TEXT(tbl_RawSales[[#This Row],[Order Date]],"mmm")</f>
        <v>Oct</v>
      </c>
      <c r="L347">
        <f>MONTH(tbl_RawSales[[#This Row],[Order Date]])</f>
        <v>10</v>
      </c>
      <c r="M347" t="str">
        <f>TEXT(tbl_RawSales[[#This Row],[Order Date]],"ddd")</f>
        <v>Fri</v>
      </c>
      <c r="N347">
        <f>WEEKDAY(tbl_RawSales[[#This Row],[Order Date]],2)</f>
        <v>5</v>
      </c>
    </row>
    <row r="348" spans="1:14" x14ac:dyDescent="0.25">
      <c r="A348" t="s">
        <v>398</v>
      </c>
      <c r="B348" s="20">
        <v>45906</v>
      </c>
      <c r="C348" t="s">
        <v>25</v>
      </c>
      <c r="D348" t="s">
        <v>29</v>
      </c>
      <c r="E348" t="s">
        <v>83</v>
      </c>
      <c r="F348" t="s">
        <v>14</v>
      </c>
      <c r="G348">
        <v>2</v>
      </c>
      <c r="H348" s="1">
        <v>17.989999999999998</v>
      </c>
      <c r="I348" s="1">
        <v>35.979999999999997</v>
      </c>
      <c r="J348">
        <v>3</v>
      </c>
      <c r="K348" t="str">
        <f>TEXT(tbl_RawSales[[#This Row],[Order Date]],"mmm")</f>
        <v>Sept</v>
      </c>
      <c r="L348">
        <f>MONTH(tbl_RawSales[[#This Row],[Order Date]])</f>
        <v>9</v>
      </c>
      <c r="M348" t="str">
        <f>TEXT(tbl_RawSales[[#This Row],[Order Date]],"ddd")</f>
        <v>Sat</v>
      </c>
      <c r="N348">
        <f>WEEKDAY(tbl_RawSales[[#This Row],[Order Date]],2)</f>
        <v>6</v>
      </c>
    </row>
    <row r="349" spans="1:14" x14ac:dyDescent="0.25">
      <c r="A349" t="s">
        <v>399</v>
      </c>
      <c r="B349" s="20">
        <v>45536</v>
      </c>
      <c r="C349" t="s">
        <v>11</v>
      </c>
      <c r="D349" t="s">
        <v>29</v>
      </c>
      <c r="E349" t="s">
        <v>30</v>
      </c>
      <c r="F349" t="s">
        <v>19</v>
      </c>
      <c r="G349">
        <v>1</v>
      </c>
      <c r="H349" s="1">
        <v>7.99</v>
      </c>
      <c r="I349" s="1">
        <v>7.99</v>
      </c>
      <c r="J349">
        <v>3</v>
      </c>
      <c r="K349" t="str">
        <f>TEXT(tbl_RawSales[[#This Row],[Order Date]],"mmm")</f>
        <v>Sept</v>
      </c>
      <c r="L349">
        <f>MONTH(tbl_RawSales[[#This Row],[Order Date]])</f>
        <v>9</v>
      </c>
      <c r="M349" t="str">
        <f>TEXT(tbl_RawSales[[#This Row],[Order Date]],"ddd")</f>
        <v>Sun</v>
      </c>
      <c r="N349">
        <f>WEEKDAY(tbl_RawSales[[#This Row],[Order Date]],2)</f>
        <v>7</v>
      </c>
    </row>
    <row r="350" spans="1:14" x14ac:dyDescent="0.25">
      <c r="A350" t="s">
        <v>400</v>
      </c>
      <c r="B350" s="20">
        <v>45728</v>
      </c>
      <c r="C350" t="s">
        <v>25</v>
      </c>
      <c r="D350" t="s">
        <v>17</v>
      </c>
      <c r="E350" t="s">
        <v>36</v>
      </c>
      <c r="F350" t="s">
        <v>14</v>
      </c>
      <c r="G350">
        <v>4</v>
      </c>
      <c r="H350" s="1">
        <v>16.989999999999998</v>
      </c>
      <c r="I350" s="1">
        <v>67.959999999999994</v>
      </c>
      <c r="J350">
        <v>4</v>
      </c>
      <c r="K350" t="str">
        <f>TEXT(tbl_RawSales[[#This Row],[Order Date]],"mmm")</f>
        <v>Mar</v>
      </c>
      <c r="L350">
        <f>MONTH(tbl_RawSales[[#This Row],[Order Date]])</f>
        <v>3</v>
      </c>
      <c r="M350" t="str">
        <f>TEXT(tbl_RawSales[[#This Row],[Order Date]],"ddd")</f>
        <v>Wed</v>
      </c>
      <c r="N350">
        <f>WEEKDAY(tbl_RawSales[[#This Row],[Order Date]],2)</f>
        <v>3</v>
      </c>
    </row>
    <row r="351" spans="1:14" x14ac:dyDescent="0.25">
      <c r="A351" t="s">
        <v>401</v>
      </c>
      <c r="B351" s="20">
        <v>45778</v>
      </c>
      <c r="C351" t="s">
        <v>97</v>
      </c>
      <c r="D351" t="s">
        <v>12</v>
      </c>
      <c r="E351" t="s">
        <v>43</v>
      </c>
      <c r="F351" t="s">
        <v>23</v>
      </c>
      <c r="G351">
        <v>1</v>
      </c>
      <c r="H351" s="1">
        <v>11.99</v>
      </c>
      <c r="I351" s="1">
        <v>11.99</v>
      </c>
      <c r="J351">
        <v>3</v>
      </c>
      <c r="K351" t="str">
        <f>TEXT(tbl_RawSales[[#This Row],[Order Date]],"mmm")</f>
        <v>May</v>
      </c>
      <c r="L351">
        <f>MONTH(tbl_RawSales[[#This Row],[Order Date]])</f>
        <v>5</v>
      </c>
      <c r="M351" t="str">
        <f>TEXT(tbl_RawSales[[#This Row],[Order Date]],"ddd")</f>
        <v>Thu</v>
      </c>
      <c r="N351">
        <f>WEEKDAY(tbl_RawSales[[#This Row],[Order Date]],2)</f>
        <v>4</v>
      </c>
    </row>
    <row r="352" spans="1:14" x14ac:dyDescent="0.25">
      <c r="A352" t="s">
        <v>402</v>
      </c>
      <c r="B352" s="20">
        <v>45371</v>
      </c>
      <c r="C352" t="s">
        <v>25</v>
      </c>
      <c r="D352" t="s">
        <v>12</v>
      </c>
      <c r="E352" t="s">
        <v>83</v>
      </c>
      <c r="F352" t="s">
        <v>14</v>
      </c>
      <c r="G352">
        <v>3</v>
      </c>
      <c r="H352" s="1">
        <v>17.989999999999998</v>
      </c>
      <c r="I352" s="1">
        <v>53.97</v>
      </c>
      <c r="J352">
        <v>4</v>
      </c>
      <c r="K352" t="str">
        <f>TEXT(tbl_RawSales[[#This Row],[Order Date]],"mmm")</f>
        <v>Mar</v>
      </c>
      <c r="L352">
        <f>MONTH(tbl_RawSales[[#This Row],[Order Date]])</f>
        <v>3</v>
      </c>
      <c r="M352" t="str">
        <f>TEXT(tbl_RawSales[[#This Row],[Order Date]],"ddd")</f>
        <v>Wed</v>
      </c>
      <c r="N352">
        <f>WEEKDAY(tbl_RawSales[[#This Row],[Order Date]],2)</f>
        <v>3</v>
      </c>
    </row>
    <row r="353" spans="1:14" x14ac:dyDescent="0.25">
      <c r="A353" t="s">
        <v>403</v>
      </c>
      <c r="B353" s="20">
        <v>45856</v>
      </c>
      <c r="C353" t="s">
        <v>34</v>
      </c>
      <c r="D353" t="s">
        <v>12</v>
      </c>
      <c r="E353" t="s">
        <v>55</v>
      </c>
      <c r="F353" t="s">
        <v>23</v>
      </c>
      <c r="G353">
        <v>4</v>
      </c>
      <c r="H353" s="1">
        <v>10.99</v>
      </c>
      <c r="I353" s="1">
        <v>43.96</v>
      </c>
      <c r="J353">
        <v>4</v>
      </c>
      <c r="K353" t="str">
        <f>TEXT(tbl_RawSales[[#This Row],[Order Date]],"mmm")</f>
        <v>Jul</v>
      </c>
      <c r="L353">
        <f>MONTH(tbl_RawSales[[#This Row],[Order Date]])</f>
        <v>7</v>
      </c>
      <c r="M353" t="str">
        <f>TEXT(tbl_RawSales[[#This Row],[Order Date]],"ddd")</f>
        <v>Fri</v>
      </c>
      <c r="N353">
        <f>WEEKDAY(tbl_RawSales[[#This Row],[Order Date]],2)</f>
        <v>5</v>
      </c>
    </row>
    <row r="354" spans="1:14" x14ac:dyDescent="0.25">
      <c r="A354" t="s">
        <v>404</v>
      </c>
      <c r="B354" s="20">
        <v>45963</v>
      </c>
      <c r="C354" t="s">
        <v>45</v>
      </c>
      <c r="D354" t="s">
        <v>29</v>
      </c>
      <c r="E354" t="s">
        <v>13</v>
      </c>
      <c r="F354" t="s">
        <v>14</v>
      </c>
      <c r="G354">
        <v>2</v>
      </c>
      <c r="H354" s="1">
        <v>18.989999999999998</v>
      </c>
      <c r="I354" s="1">
        <v>37.979999999999997</v>
      </c>
      <c r="J354">
        <v>5</v>
      </c>
      <c r="K354" t="str">
        <f>TEXT(tbl_RawSales[[#This Row],[Order Date]],"mmm")</f>
        <v>Nov</v>
      </c>
      <c r="L354">
        <f>MONTH(tbl_RawSales[[#This Row],[Order Date]])</f>
        <v>11</v>
      </c>
      <c r="M354" t="str">
        <f>TEXT(tbl_RawSales[[#This Row],[Order Date]],"ddd")</f>
        <v>Sun</v>
      </c>
      <c r="N354">
        <f>WEEKDAY(tbl_RawSales[[#This Row],[Order Date]],2)</f>
        <v>7</v>
      </c>
    </row>
    <row r="355" spans="1:14" x14ac:dyDescent="0.25">
      <c r="A355" t="s">
        <v>405</v>
      </c>
      <c r="B355" s="20">
        <v>45678</v>
      </c>
      <c r="C355" t="s">
        <v>32</v>
      </c>
      <c r="D355" t="s">
        <v>12</v>
      </c>
      <c r="E355" t="s">
        <v>39</v>
      </c>
      <c r="F355" t="s">
        <v>14</v>
      </c>
      <c r="G355">
        <v>1</v>
      </c>
      <c r="H355" s="1">
        <v>24.99</v>
      </c>
      <c r="I355" s="1">
        <v>24.99</v>
      </c>
      <c r="J355">
        <v>3</v>
      </c>
      <c r="K355" t="str">
        <f>TEXT(tbl_RawSales[[#This Row],[Order Date]],"mmm")</f>
        <v>Jan</v>
      </c>
      <c r="L355">
        <f>MONTH(tbl_RawSales[[#This Row],[Order Date]])</f>
        <v>1</v>
      </c>
      <c r="M355" t="str">
        <f>TEXT(tbl_RawSales[[#This Row],[Order Date]],"ddd")</f>
        <v>Tue</v>
      </c>
      <c r="N355">
        <f>WEEKDAY(tbl_RawSales[[#This Row],[Order Date]],2)</f>
        <v>2</v>
      </c>
    </row>
    <row r="356" spans="1:14" x14ac:dyDescent="0.25">
      <c r="A356" t="s">
        <v>406</v>
      </c>
      <c r="B356" s="20">
        <v>45843</v>
      </c>
      <c r="C356" t="s">
        <v>21</v>
      </c>
      <c r="D356" t="s">
        <v>12</v>
      </c>
      <c r="E356" t="s">
        <v>22</v>
      </c>
      <c r="F356" t="s">
        <v>23</v>
      </c>
      <c r="G356">
        <v>2</v>
      </c>
      <c r="H356" s="1">
        <v>8.99</v>
      </c>
      <c r="I356" s="1">
        <v>17.98</v>
      </c>
      <c r="J356">
        <v>3</v>
      </c>
      <c r="K356" t="str">
        <f>TEXT(tbl_RawSales[[#This Row],[Order Date]],"mmm")</f>
        <v>Jul</v>
      </c>
      <c r="L356">
        <f>MONTH(tbl_RawSales[[#This Row],[Order Date]])</f>
        <v>7</v>
      </c>
      <c r="M356" t="str">
        <f>TEXT(tbl_RawSales[[#This Row],[Order Date]],"ddd")</f>
        <v>Sat</v>
      </c>
      <c r="N356">
        <f>WEEKDAY(tbl_RawSales[[#This Row],[Order Date]],2)</f>
        <v>6</v>
      </c>
    </row>
    <row r="357" spans="1:14" x14ac:dyDescent="0.25">
      <c r="A357" t="s">
        <v>407</v>
      </c>
      <c r="B357" s="20">
        <v>45710</v>
      </c>
      <c r="C357" t="s">
        <v>11</v>
      </c>
      <c r="D357" t="s">
        <v>17</v>
      </c>
      <c r="E357" t="s">
        <v>50</v>
      </c>
      <c r="F357" t="s">
        <v>14</v>
      </c>
      <c r="G357">
        <v>2</v>
      </c>
      <c r="H357" s="1">
        <v>22.99</v>
      </c>
      <c r="I357" s="1">
        <v>45.98</v>
      </c>
      <c r="J357">
        <v>5</v>
      </c>
      <c r="K357" t="str">
        <f>TEXT(tbl_RawSales[[#This Row],[Order Date]],"mmm")</f>
        <v>Feb</v>
      </c>
      <c r="L357">
        <f>MONTH(tbl_RawSales[[#This Row],[Order Date]])</f>
        <v>2</v>
      </c>
      <c r="M357" t="str">
        <f>TEXT(tbl_RawSales[[#This Row],[Order Date]],"ddd")</f>
        <v>Sat</v>
      </c>
      <c r="N357">
        <f>WEEKDAY(tbl_RawSales[[#This Row],[Order Date]],2)</f>
        <v>6</v>
      </c>
    </row>
    <row r="358" spans="1:14" x14ac:dyDescent="0.25">
      <c r="A358" t="s">
        <v>408</v>
      </c>
      <c r="B358" s="20">
        <v>45478</v>
      </c>
      <c r="C358" t="s">
        <v>16</v>
      </c>
      <c r="D358" t="s">
        <v>29</v>
      </c>
      <c r="E358" t="s">
        <v>50</v>
      </c>
      <c r="F358" t="s">
        <v>14</v>
      </c>
      <c r="G358">
        <v>1</v>
      </c>
      <c r="H358" s="1">
        <v>22.99</v>
      </c>
      <c r="I358" s="1">
        <v>22.99</v>
      </c>
      <c r="J358">
        <v>4</v>
      </c>
      <c r="K358" t="str">
        <f>TEXT(tbl_RawSales[[#This Row],[Order Date]],"mmm")</f>
        <v>Jul</v>
      </c>
      <c r="L358">
        <f>MONTH(tbl_RawSales[[#This Row],[Order Date]])</f>
        <v>7</v>
      </c>
      <c r="M358" t="str">
        <f>TEXT(tbl_RawSales[[#This Row],[Order Date]],"ddd")</f>
        <v>Fri</v>
      </c>
      <c r="N358">
        <f>WEEKDAY(tbl_RawSales[[#This Row],[Order Date]],2)</f>
        <v>5</v>
      </c>
    </row>
    <row r="359" spans="1:14" x14ac:dyDescent="0.25">
      <c r="A359" t="s">
        <v>409</v>
      </c>
      <c r="B359" s="20">
        <v>45786</v>
      </c>
      <c r="C359" t="s">
        <v>45</v>
      </c>
      <c r="D359" t="s">
        <v>17</v>
      </c>
      <c r="E359" t="s">
        <v>36</v>
      </c>
      <c r="F359" t="s">
        <v>14</v>
      </c>
      <c r="G359">
        <v>2</v>
      </c>
      <c r="H359" s="1">
        <v>16.989999999999998</v>
      </c>
      <c r="I359" s="1">
        <v>33.979999999999997</v>
      </c>
      <c r="J359">
        <v>4</v>
      </c>
      <c r="K359" t="str">
        <f>TEXT(tbl_RawSales[[#This Row],[Order Date]],"mmm")</f>
        <v>May</v>
      </c>
      <c r="L359">
        <f>MONTH(tbl_RawSales[[#This Row],[Order Date]])</f>
        <v>5</v>
      </c>
      <c r="M359" t="str">
        <f>TEXT(tbl_RawSales[[#This Row],[Order Date]],"ddd")</f>
        <v>Fri</v>
      </c>
      <c r="N359">
        <f>WEEKDAY(tbl_RawSales[[#This Row],[Order Date]],2)</f>
        <v>5</v>
      </c>
    </row>
    <row r="360" spans="1:14" x14ac:dyDescent="0.25">
      <c r="A360" t="s">
        <v>410</v>
      </c>
      <c r="B360" s="20">
        <v>45885</v>
      </c>
      <c r="C360" t="s">
        <v>11</v>
      </c>
      <c r="D360" t="s">
        <v>17</v>
      </c>
      <c r="E360" t="s">
        <v>36</v>
      </c>
      <c r="F360" t="s">
        <v>14</v>
      </c>
      <c r="G360">
        <v>3</v>
      </c>
      <c r="H360" s="1">
        <v>16.989999999999998</v>
      </c>
      <c r="I360" s="1">
        <v>50.97</v>
      </c>
      <c r="J360">
        <v>2</v>
      </c>
      <c r="K360" t="str">
        <f>TEXT(tbl_RawSales[[#This Row],[Order Date]],"mmm")</f>
        <v>Aug</v>
      </c>
      <c r="L360">
        <f>MONTH(tbl_RawSales[[#This Row],[Order Date]])</f>
        <v>8</v>
      </c>
      <c r="M360" t="str">
        <f>TEXT(tbl_RawSales[[#This Row],[Order Date]],"ddd")</f>
        <v>Sat</v>
      </c>
      <c r="N360">
        <f>WEEKDAY(tbl_RawSales[[#This Row],[Order Date]],2)</f>
        <v>6</v>
      </c>
    </row>
    <row r="361" spans="1:14" x14ac:dyDescent="0.25">
      <c r="A361" t="s">
        <v>411</v>
      </c>
      <c r="B361" s="20">
        <v>45949</v>
      </c>
      <c r="C361" t="s">
        <v>34</v>
      </c>
      <c r="D361" t="s">
        <v>17</v>
      </c>
      <c r="E361" t="s">
        <v>57</v>
      </c>
      <c r="F361" t="s">
        <v>14</v>
      </c>
      <c r="G361">
        <v>3</v>
      </c>
      <c r="H361" s="1">
        <v>15.99</v>
      </c>
      <c r="I361" s="1">
        <v>47.97</v>
      </c>
      <c r="J361">
        <v>4</v>
      </c>
      <c r="K361" t="str">
        <f>TEXT(tbl_RawSales[[#This Row],[Order Date]],"mmm")</f>
        <v>Oct</v>
      </c>
      <c r="L361">
        <f>MONTH(tbl_RawSales[[#This Row],[Order Date]])</f>
        <v>10</v>
      </c>
      <c r="M361" t="str">
        <f>TEXT(tbl_RawSales[[#This Row],[Order Date]],"ddd")</f>
        <v>Sun</v>
      </c>
      <c r="N361">
        <f>WEEKDAY(tbl_RawSales[[#This Row],[Order Date]],2)</f>
        <v>7</v>
      </c>
    </row>
    <row r="362" spans="1:14" x14ac:dyDescent="0.25">
      <c r="A362" t="s">
        <v>412</v>
      </c>
      <c r="B362" s="20">
        <v>45311</v>
      </c>
      <c r="C362" t="s">
        <v>45</v>
      </c>
      <c r="D362" t="s">
        <v>29</v>
      </c>
      <c r="E362" t="s">
        <v>22</v>
      </c>
      <c r="F362" t="s">
        <v>23</v>
      </c>
      <c r="G362">
        <v>4</v>
      </c>
      <c r="H362" s="1">
        <v>8.99</v>
      </c>
      <c r="I362" s="1">
        <v>35.96</v>
      </c>
      <c r="J362">
        <v>5</v>
      </c>
      <c r="K362" t="str">
        <f>TEXT(tbl_RawSales[[#This Row],[Order Date]],"mmm")</f>
        <v>Jan</v>
      </c>
      <c r="L362">
        <f>MONTH(tbl_RawSales[[#This Row],[Order Date]])</f>
        <v>1</v>
      </c>
      <c r="M362" t="str">
        <f>TEXT(tbl_RawSales[[#This Row],[Order Date]],"ddd")</f>
        <v>Sat</v>
      </c>
      <c r="N362">
        <f>WEEKDAY(tbl_RawSales[[#This Row],[Order Date]],2)</f>
        <v>6</v>
      </c>
    </row>
    <row r="363" spans="1:14" x14ac:dyDescent="0.25">
      <c r="A363" t="s">
        <v>413</v>
      </c>
      <c r="B363" s="20">
        <v>45383</v>
      </c>
      <c r="C363" t="s">
        <v>34</v>
      </c>
      <c r="D363" t="s">
        <v>12</v>
      </c>
      <c r="E363" t="s">
        <v>83</v>
      </c>
      <c r="F363" t="s">
        <v>14</v>
      </c>
      <c r="G363">
        <v>3</v>
      </c>
      <c r="H363" s="1">
        <v>17.989999999999998</v>
      </c>
      <c r="I363" s="1">
        <v>53.97</v>
      </c>
      <c r="J363">
        <v>4</v>
      </c>
      <c r="K363" t="str">
        <f>TEXT(tbl_RawSales[[#This Row],[Order Date]],"mmm")</f>
        <v>Apr</v>
      </c>
      <c r="L363">
        <f>MONTH(tbl_RawSales[[#This Row],[Order Date]])</f>
        <v>4</v>
      </c>
      <c r="M363" t="str">
        <f>TEXT(tbl_RawSales[[#This Row],[Order Date]],"ddd")</f>
        <v>Mon</v>
      </c>
      <c r="N363">
        <f>WEEKDAY(tbl_RawSales[[#This Row],[Order Date]],2)</f>
        <v>1</v>
      </c>
    </row>
    <row r="364" spans="1:14" x14ac:dyDescent="0.25">
      <c r="A364" t="s">
        <v>414</v>
      </c>
      <c r="B364" s="20">
        <v>45676</v>
      </c>
      <c r="C364" t="s">
        <v>97</v>
      </c>
      <c r="D364" t="s">
        <v>17</v>
      </c>
      <c r="E364" t="s">
        <v>83</v>
      </c>
      <c r="F364" t="s">
        <v>14</v>
      </c>
      <c r="G364">
        <v>2</v>
      </c>
      <c r="H364" s="1">
        <v>17.989999999999998</v>
      </c>
      <c r="I364" s="1">
        <v>35.979999999999997</v>
      </c>
      <c r="J364">
        <v>4</v>
      </c>
      <c r="K364" t="str">
        <f>TEXT(tbl_RawSales[[#This Row],[Order Date]],"mmm")</f>
        <v>Jan</v>
      </c>
      <c r="L364">
        <f>MONTH(tbl_RawSales[[#This Row],[Order Date]])</f>
        <v>1</v>
      </c>
      <c r="M364" t="str">
        <f>TEXT(tbl_RawSales[[#This Row],[Order Date]],"ddd")</f>
        <v>Sun</v>
      </c>
      <c r="N364">
        <f>WEEKDAY(tbl_RawSales[[#This Row],[Order Date]],2)</f>
        <v>7</v>
      </c>
    </row>
    <row r="365" spans="1:14" x14ac:dyDescent="0.25">
      <c r="A365" t="s">
        <v>415</v>
      </c>
      <c r="B365" s="20">
        <v>45595</v>
      </c>
      <c r="C365" t="s">
        <v>32</v>
      </c>
      <c r="D365" t="s">
        <v>29</v>
      </c>
      <c r="E365" t="s">
        <v>52</v>
      </c>
      <c r="F365" t="s">
        <v>19</v>
      </c>
      <c r="G365">
        <v>3</v>
      </c>
      <c r="H365" s="1">
        <v>6.99</v>
      </c>
      <c r="I365" s="1">
        <v>20.97</v>
      </c>
      <c r="J365">
        <v>2</v>
      </c>
      <c r="K365" t="str">
        <f>TEXT(tbl_RawSales[[#This Row],[Order Date]],"mmm")</f>
        <v>Oct</v>
      </c>
      <c r="L365">
        <f>MONTH(tbl_RawSales[[#This Row],[Order Date]])</f>
        <v>10</v>
      </c>
      <c r="M365" t="str">
        <f>TEXT(tbl_RawSales[[#This Row],[Order Date]],"ddd")</f>
        <v>Wed</v>
      </c>
      <c r="N365">
        <f>WEEKDAY(tbl_RawSales[[#This Row],[Order Date]],2)</f>
        <v>3</v>
      </c>
    </row>
    <row r="366" spans="1:14" x14ac:dyDescent="0.25">
      <c r="A366" t="s">
        <v>416</v>
      </c>
      <c r="B366" s="20">
        <v>45862</v>
      </c>
      <c r="C366" t="s">
        <v>34</v>
      </c>
      <c r="D366" t="s">
        <v>17</v>
      </c>
      <c r="E366" t="s">
        <v>83</v>
      </c>
      <c r="F366" t="s">
        <v>14</v>
      </c>
      <c r="G366">
        <v>1</v>
      </c>
      <c r="H366" s="1">
        <v>17.989999999999998</v>
      </c>
      <c r="I366" s="1">
        <v>17.989999999999998</v>
      </c>
      <c r="J366">
        <v>4</v>
      </c>
      <c r="K366" t="str">
        <f>TEXT(tbl_RawSales[[#This Row],[Order Date]],"mmm")</f>
        <v>Jul</v>
      </c>
      <c r="L366">
        <f>MONTH(tbl_RawSales[[#This Row],[Order Date]])</f>
        <v>7</v>
      </c>
      <c r="M366" t="str">
        <f>TEXT(tbl_RawSales[[#This Row],[Order Date]],"ddd")</f>
        <v>Thu</v>
      </c>
      <c r="N366">
        <f>WEEKDAY(tbl_RawSales[[#This Row],[Order Date]],2)</f>
        <v>4</v>
      </c>
    </row>
    <row r="367" spans="1:14" x14ac:dyDescent="0.25">
      <c r="A367" t="s">
        <v>417</v>
      </c>
      <c r="B367" s="20">
        <v>45513</v>
      </c>
      <c r="C367" t="s">
        <v>21</v>
      </c>
      <c r="D367" t="s">
        <v>29</v>
      </c>
      <c r="E367" t="s">
        <v>83</v>
      </c>
      <c r="F367" t="s">
        <v>14</v>
      </c>
      <c r="G367">
        <v>1</v>
      </c>
      <c r="H367" s="1">
        <v>17.989999999999998</v>
      </c>
      <c r="I367" s="1">
        <v>17.989999999999998</v>
      </c>
      <c r="J367">
        <v>5</v>
      </c>
      <c r="K367" t="str">
        <f>TEXT(tbl_RawSales[[#This Row],[Order Date]],"mmm")</f>
        <v>Aug</v>
      </c>
      <c r="L367">
        <f>MONTH(tbl_RawSales[[#This Row],[Order Date]])</f>
        <v>8</v>
      </c>
      <c r="M367" t="str">
        <f>TEXT(tbl_RawSales[[#This Row],[Order Date]],"ddd")</f>
        <v>Fri</v>
      </c>
      <c r="N367">
        <f>WEEKDAY(tbl_RawSales[[#This Row],[Order Date]],2)</f>
        <v>5</v>
      </c>
    </row>
    <row r="368" spans="1:14" x14ac:dyDescent="0.25">
      <c r="A368" t="s">
        <v>418</v>
      </c>
      <c r="B368" s="20">
        <v>45316</v>
      </c>
      <c r="C368" t="s">
        <v>16</v>
      </c>
      <c r="D368" t="s">
        <v>29</v>
      </c>
      <c r="E368" t="s">
        <v>13</v>
      </c>
      <c r="F368" t="s">
        <v>14</v>
      </c>
      <c r="G368">
        <v>1</v>
      </c>
      <c r="H368" s="1">
        <v>18.989999999999998</v>
      </c>
      <c r="I368" s="1">
        <v>18.989999999999998</v>
      </c>
      <c r="J368">
        <v>5</v>
      </c>
      <c r="K368" t="str">
        <f>TEXT(tbl_RawSales[[#This Row],[Order Date]],"mmm")</f>
        <v>Jan</v>
      </c>
      <c r="L368">
        <f>MONTH(tbl_RawSales[[#This Row],[Order Date]])</f>
        <v>1</v>
      </c>
      <c r="M368" t="str">
        <f>TEXT(tbl_RawSales[[#This Row],[Order Date]],"ddd")</f>
        <v>Thu</v>
      </c>
      <c r="N368">
        <f>WEEKDAY(tbl_RawSales[[#This Row],[Order Date]],2)</f>
        <v>4</v>
      </c>
    </row>
    <row r="369" spans="1:14" x14ac:dyDescent="0.25">
      <c r="A369" t="s">
        <v>419</v>
      </c>
      <c r="B369" s="20">
        <v>46011</v>
      </c>
      <c r="C369" t="s">
        <v>11</v>
      </c>
      <c r="D369" t="s">
        <v>17</v>
      </c>
      <c r="E369" t="s">
        <v>83</v>
      </c>
      <c r="F369" t="s">
        <v>14</v>
      </c>
      <c r="G369">
        <v>2</v>
      </c>
      <c r="H369" s="1">
        <v>17.989999999999998</v>
      </c>
      <c r="I369" s="1">
        <v>35.979999999999997</v>
      </c>
      <c r="J369">
        <v>3</v>
      </c>
      <c r="K369" t="str">
        <f>TEXT(tbl_RawSales[[#This Row],[Order Date]],"mmm")</f>
        <v>Dec</v>
      </c>
      <c r="L369">
        <f>MONTH(tbl_RawSales[[#This Row],[Order Date]])</f>
        <v>12</v>
      </c>
      <c r="M369" t="str">
        <f>TEXT(tbl_RawSales[[#This Row],[Order Date]],"ddd")</f>
        <v>Sat</v>
      </c>
      <c r="N369">
        <f>WEEKDAY(tbl_RawSales[[#This Row],[Order Date]],2)</f>
        <v>6</v>
      </c>
    </row>
    <row r="370" spans="1:14" x14ac:dyDescent="0.25">
      <c r="A370" t="s">
        <v>420</v>
      </c>
      <c r="B370" s="20">
        <v>45580</v>
      </c>
      <c r="C370" t="s">
        <v>97</v>
      </c>
      <c r="D370" t="s">
        <v>17</v>
      </c>
      <c r="E370" t="s">
        <v>221</v>
      </c>
      <c r="F370" t="s">
        <v>67</v>
      </c>
      <c r="G370">
        <v>3</v>
      </c>
      <c r="H370" s="1">
        <v>9.99</v>
      </c>
      <c r="I370" s="1">
        <v>29.97</v>
      </c>
      <c r="J370">
        <v>3</v>
      </c>
      <c r="K370" t="str">
        <f>TEXT(tbl_RawSales[[#This Row],[Order Date]],"mmm")</f>
        <v>Oct</v>
      </c>
      <c r="L370">
        <f>MONTH(tbl_RawSales[[#This Row],[Order Date]])</f>
        <v>10</v>
      </c>
      <c r="M370" t="str">
        <f>TEXT(tbl_RawSales[[#This Row],[Order Date]],"ddd")</f>
        <v>Tue</v>
      </c>
      <c r="N370">
        <f>WEEKDAY(tbl_RawSales[[#This Row],[Order Date]],2)</f>
        <v>2</v>
      </c>
    </row>
    <row r="371" spans="1:14" x14ac:dyDescent="0.25">
      <c r="A371" t="s">
        <v>421</v>
      </c>
      <c r="B371" s="20">
        <v>46010</v>
      </c>
      <c r="C371" t="s">
        <v>34</v>
      </c>
      <c r="D371" t="s">
        <v>12</v>
      </c>
      <c r="E371" t="s">
        <v>26</v>
      </c>
      <c r="F371" t="s">
        <v>19</v>
      </c>
      <c r="G371">
        <v>1</v>
      </c>
      <c r="H371" s="1">
        <v>3.49</v>
      </c>
      <c r="I371" s="1">
        <v>3.49</v>
      </c>
      <c r="J371">
        <v>5</v>
      </c>
      <c r="K371" t="str">
        <f>TEXT(tbl_RawSales[[#This Row],[Order Date]],"mmm")</f>
        <v>Dec</v>
      </c>
      <c r="L371">
        <f>MONTH(tbl_RawSales[[#This Row],[Order Date]])</f>
        <v>12</v>
      </c>
      <c r="M371" t="str">
        <f>TEXT(tbl_RawSales[[#This Row],[Order Date]],"ddd")</f>
        <v>Fri</v>
      </c>
      <c r="N371">
        <f>WEEKDAY(tbl_RawSales[[#This Row],[Order Date]],2)</f>
        <v>5</v>
      </c>
    </row>
    <row r="372" spans="1:14" x14ac:dyDescent="0.25">
      <c r="A372" t="s">
        <v>422</v>
      </c>
      <c r="B372" s="20">
        <v>45899</v>
      </c>
      <c r="C372" t="s">
        <v>28</v>
      </c>
      <c r="D372" t="s">
        <v>29</v>
      </c>
      <c r="E372" t="s">
        <v>62</v>
      </c>
      <c r="F372" t="s">
        <v>23</v>
      </c>
      <c r="G372">
        <v>2</v>
      </c>
      <c r="H372" s="1">
        <v>9.99</v>
      </c>
      <c r="I372" s="1">
        <v>19.98</v>
      </c>
      <c r="J372">
        <v>5</v>
      </c>
      <c r="K372" t="str">
        <f>TEXT(tbl_RawSales[[#This Row],[Order Date]],"mmm")</f>
        <v>Aug</v>
      </c>
      <c r="L372">
        <f>MONTH(tbl_RawSales[[#This Row],[Order Date]])</f>
        <v>8</v>
      </c>
      <c r="M372" t="str">
        <f>TEXT(tbl_RawSales[[#This Row],[Order Date]],"ddd")</f>
        <v>Sat</v>
      </c>
      <c r="N372">
        <f>WEEKDAY(tbl_RawSales[[#This Row],[Order Date]],2)</f>
        <v>6</v>
      </c>
    </row>
    <row r="373" spans="1:14" x14ac:dyDescent="0.25">
      <c r="A373" t="s">
        <v>423</v>
      </c>
      <c r="B373" s="20">
        <v>45695</v>
      </c>
      <c r="C373" t="s">
        <v>38</v>
      </c>
      <c r="D373" t="s">
        <v>12</v>
      </c>
      <c r="E373" t="s">
        <v>18</v>
      </c>
      <c r="F373" t="s">
        <v>19</v>
      </c>
      <c r="G373">
        <v>4</v>
      </c>
      <c r="H373" s="1">
        <v>9.99</v>
      </c>
      <c r="I373" s="1">
        <v>39.96</v>
      </c>
      <c r="J373">
        <v>4</v>
      </c>
      <c r="K373" t="str">
        <f>TEXT(tbl_RawSales[[#This Row],[Order Date]],"mmm")</f>
        <v>Feb</v>
      </c>
      <c r="L373">
        <f>MONTH(tbl_RawSales[[#This Row],[Order Date]])</f>
        <v>2</v>
      </c>
      <c r="M373" t="str">
        <f>TEXT(tbl_RawSales[[#This Row],[Order Date]],"ddd")</f>
        <v>Fri</v>
      </c>
      <c r="N373">
        <f>WEEKDAY(tbl_RawSales[[#This Row],[Order Date]],2)</f>
        <v>5</v>
      </c>
    </row>
    <row r="374" spans="1:14" x14ac:dyDescent="0.25">
      <c r="A374" t="s">
        <v>424</v>
      </c>
      <c r="B374" s="20">
        <v>45748</v>
      </c>
      <c r="C374" t="s">
        <v>97</v>
      </c>
      <c r="D374" t="s">
        <v>29</v>
      </c>
      <c r="E374" t="s">
        <v>22</v>
      </c>
      <c r="F374" t="s">
        <v>23</v>
      </c>
      <c r="G374">
        <v>1</v>
      </c>
      <c r="H374" s="1">
        <v>8.99</v>
      </c>
      <c r="I374" s="1">
        <v>8.99</v>
      </c>
      <c r="J374">
        <v>3</v>
      </c>
      <c r="K374" t="str">
        <f>TEXT(tbl_RawSales[[#This Row],[Order Date]],"mmm")</f>
        <v>Apr</v>
      </c>
      <c r="L374">
        <f>MONTH(tbl_RawSales[[#This Row],[Order Date]])</f>
        <v>4</v>
      </c>
      <c r="M374" t="str">
        <f>TEXT(tbl_RawSales[[#This Row],[Order Date]],"ddd")</f>
        <v>Tue</v>
      </c>
      <c r="N374">
        <f>WEEKDAY(tbl_RawSales[[#This Row],[Order Date]],2)</f>
        <v>2</v>
      </c>
    </row>
    <row r="375" spans="1:14" x14ac:dyDescent="0.25">
      <c r="A375" t="s">
        <v>425</v>
      </c>
      <c r="B375" s="20">
        <v>45751</v>
      </c>
      <c r="C375" t="s">
        <v>32</v>
      </c>
      <c r="D375" t="s">
        <v>17</v>
      </c>
      <c r="E375" t="s">
        <v>50</v>
      </c>
      <c r="F375" t="s">
        <v>14</v>
      </c>
      <c r="G375">
        <v>1</v>
      </c>
      <c r="H375" s="1">
        <v>22.99</v>
      </c>
      <c r="I375" s="1">
        <v>22.99</v>
      </c>
      <c r="J375">
        <v>2</v>
      </c>
      <c r="K375" t="str">
        <f>TEXT(tbl_RawSales[[#This Row],[Order Date]],"mmm")</f>
        <v>Apr</v>
      </c>
      <c r="L375">
        <f>MONTH(tbl_RawSales[[#This Row],[Order Date]])</f>
        <v>4</v>
      </c>
      <c r="M375" t="str">
        <f>TEXT(tbl_RawSales[[#This Row],[Order Date]],"ddd")</f>
        <v>Fri</v>
      </c>
      <c r="N375">
        <f>WEEKDAY(tbl_RawSales[[#This Row],[Order Date]],2)</f>
        <v>5</v>
      </c>
    </row>
    <row r="376" spans="1:14" x14ac:dyDescent="0.25">
      <c r="A376" t="s">
        <v>426</v>
      </c>
      <c r="B376" s="20">
        <v>45945</v>
      </c>
      <c r="C376" t="s">
        <v>25</v>
      </c>
      <c r="D376" t="s">
        <v>29</v>
      </c>
      <c r="E376" t="s">
        <v>83</v>
      </c>
      <c r="F376" t="s">
        <v>14</v>
      </c>
      <c r="G376">
        <v>2</v>
      </c>
      <c r="H376" s="1">
        <v>17.989999999999998</v>
      </c>
      <c r="I376" s="1">
        <v>35.979999999999997</v>
      </c>
      <c r="J376">
        <v>4</v>
      </c>
      <c r="K376" t="str">
        <f>TEXT(tbl_RawSales[[#This Row],[Order Date]],"mmm")</f>
        <v>Oct</v>
      </c>
      <c r="L376">
        <f>MONTH(tbl_RawSales[[#This Row],[Order Date]])</f>
        <v>10</v>
      </c>
      <c r="M376" t="str">
        <f>TEXT(tbl_RawSales[[#This Row],[Order Date]],"ddd")</f>
        <v>Wed</v>
      </c>
      <c r="N376">
        <f>WEEKDAY(tbl_RawSales[[#This Row],[Order Date]],2)</f>
        <v>3</v>
      </c>
    </row>
    <row r="377" spans="1:14" x14ac:dyDescent="0.25">
      <c r="A377" t="s">
        <v>427</v>
      </c>
      <c r="B377" s="20">
        <v>45507</v>
      </c>
      <c r="C377" t="s">
        <v>28</v>
      </c>
      <c r="D377" t="s">
        <v>12</v>
      </c>
      <c r="E377" t="s">
        <v>50</v>
      </c>
      <c r="F377" t="s">
        <v>14</v>
      </c>
      <c r="G377">
        <v>1</v>
      </c>
      <c r="H377" s="1">
        <v>22.99</v>
      </c>
      <c r="I377" s="1">
        <v>22.99</v>
      </c>
      <c r="J377">
        <v>5</v>
      </c>
      <c r="K377" t="str">
        <f>TEXT(tbl_RawSales[[#This Row],[Order Date]],"mmm")</f>
        <v>Aug</v>
      </c>
      <c r="L377">
        <f>MONTH(tbl_RawSales[[#This Row],[Order Date]])</f>
        <v>8</v>
      </c>
      <c r="M377" t="str">
        <f>TEXT(tbl_RawSales[[#This Row],[Order Date]],"ddd")</f>
        <v>Sat</v>
      </c>
      <c r="N377">
        <f>WEEKDAY(tbl_RawSales[[#This Row],[Order Date]],2)</f>
        <v>6</v>
      </c>
    </row>
    <row r="378" spans="1:14" x14ac:dyDescent="0.25">
      <c r="A378" t="s">
        <v>428</v>
      </c>
      <c r="B378" s="20">
        <v>45353</v>
      </c>
      <c r="C378" t="s">
        <v>25</v>
      </c>
      <c r="D378" t="s">
        <v>17</v>
      </c>
      <c r="E378" t="s">
        <v>13</v>
      </c>
      <c r="F378" t="s">
        <v>14</v>
      </c>
      <c r="G378">
        <v>1</v>
      </c>
      <c r="H378" s="1">
        <v>18.989999999999998</v>
      </c>
      <c r="I378" s="1">
        <v>18.989999999999998</v>
      </c>
      <c r="J378">
        <v>5</v>
      </c>
      <c r="K378" t="str">
        <f>TEXT(tbl_RawSales[[#This Row],[Order Date]],"mmm")</f>
        <v>Mar</v>
      </c>
      <c r="L378">
        <f>MONTH(tbl_RawSales[[#This Row],[Order Date]])</f>
        <v>3</v>
      </c>
      <c r="M378" t="str">
        <f>TEXT(tbl_RawSales[[#This Row],[Order Date]],"ddd")</f>
        <v>Sat</v>
      </c>
      <c r="N378">
        <f>WEEKDAY(tbl_RawSales[[#This Row],[Order Date]],2)</f>
        <v>6</v>
      </c>
    </row>
    <row r="379" spans="1:14" x14ac:dyDescent="0.25">
      <c r="A379" t="s">
        <v>429</v>
      </c>
      <c r="B379" s="20">
        <v>45979</v>
      </c>
      <c r="C379" t="s">
        <v>28</v>
      </c>
      <c r="D379" t="s">
        <v>29</v>
      </c>
      <c r="E379" t="s">
        <v>43</v>
      </c>
      <c r="F379" t="s">
        <v>23</v>
      </c>
      <c r="G379">
        <v>1</v>
      </c>
      <c r="H379" s="1">
        <v>11.99</v>
      </c>
      <c r="I379" s="1">
        <v>11.99</v>
      </c>
      <c r="J379">
        <v>5</v>
      </c>
      <c r="K379" t="str">
        <f>TEXT(tbl_RawSales[[#This Row],[Order Date]],"mmm")</f>
        <v>Nov</v>
      </c>
      <c r="L379">
        <f>MONTH(tbl_RawSales[[#This Row],[Order Date]])</f>
        <v>11</v>
      </c>
      <c r="M379" t="str">
        <f>TEXT(tbl_RawSales[[#This Row],[Order Date]],"ddd")</f>
        <v>Tue</v>
      </c>
      <c r="N379">
        <f>WEEKDAY(tbl_RawSales[[#This Row],[Order Date]],2)</f>
        <v>2</v>
      </c>
    </row>
    <row r="380" spans="1:14" x14ac:dyDescent="0.25">
      <c r="A380" t="s">
        <v>430</v>
      </c>
      <c r="B380" s="20">
        <v>45997</v>
      </c>
      <c r="C380" t="s">
        <v>45</v>
      </c>
      <c r="D380" t="s">
        <v>12</v>
      </c>
      <c r="E380" t="s">
        <v>50</v>
      </c>
      <c r="F380" t="s">
        <v>14</v>
      </c>
      <c r="G380">
        <v>2</v>
      </c>
      <c r="H380" s="1">
        <v>22.99</v>
      </c>
      <c r="I380" s="1">
        <v>45.98</v>
      </c>
      <c r="J380">
        <v>5</v>
      </c>
      <c r="K380" t="str">
        <f>TEXT(tbl_RawSales[[#This Row],[Order Date]],"mmm")</f>
        <v>Dec</v>
      </c>
      <c r="L380">
        <f>MONTH(tbl_RawSales[[#This Row],[Order Date]])</f>
        <v>12</v>
      </c>
      <c r="M380" t="str">
        <f>TEXT(tbl_RawSales[[#This Row],[Order Date]],"ddd")</f>
        <v>Sat</v>
      </c>
      <c r="N380">
        <f>WEEKDAY(tbl_RawSales[[#This Row],[Order Date]],2)</f>
        <v>6</v>
      </c>
    </row>
    <row r="381" spans="1:14" x14ac:dyDescent="0.25">
      <c r="A381" t="s">
        <v>431</v>
      </c>
      <c r="B381" s="20">
        <v>45635</v>
      </c>
      <c r="C381" t="s">
        <v>28</v>
      </c>
      <c r="D381" t="s">
        <v>12</v>
      </c>
      <c r="E381" t="s">
        <v>26</v>
      </c>
      <c r="F381" t="s">
        <v>19</v>
      </c>
      <c r="G381">
        <v>1</v>
      </c>
      <c r="H381" s="1">
        <v>3.49</v>
      </c>
      <c r="I381" s="1">
        <v>3.49</v>
      </c>
      <c r="J381">
        <v>4</v>
      </c>
      <c r="K381" t="str">
        <f>TEXT(tbl_RawSales[[#This Row],[Order Date]],"mmm")</f>
        <v>Dec</v>
      </c>
      <c r="L381">
        <f>MONTH(tbl_RawSales[[#This Row],[Order Date]])</f>
        <v>12</v>
      </c>
      <c r="M381" t="str">
        <f>TEXT(tbl_RawSales[[#This Row],[Order Date]],"ddd")</f>
        <v>Mon</v>
      </c>
      <c r="N381">
        <f>WEEKDAY(tbl_RawSales[[#This Row],[Order Date]],2)</f>
        <v>1</v>
      </c>
    </row>
    <row r="382" spans="1:14" x14ac:dyDescent="0.25">
      <c r="A382" t="s">
        <v>432</v>
      </c>
      <c r="B382" s="20">
        <v>45339</v>
      </c>
      <c r="C382" t="s">
        <v>16</v>
      </c>
      <c r="D382" t="s">
        <v>29</v>
      </c>
      <c r="E382" t="s">
        <v>41</v>
      </c>
      <c r="F382" t="s">
        <v>23</v>
      </c>
      <c r="G382">
        <v>1</v>
      </c>
      <c r="H382" s="1">
        <v>12.99</v>
      </c>
      <c r="I382" s="1">
        <v>12.99</v>
      </c>
      <c r="J382">
        <v>2</v>
      </c>
      <c r="K382" t="str">
        <f>TEXT(tbl_RawSales[[#This Row],[Order Date]],"mmm")</f>
        <v>Feb</v>
      </c>
      <c r="L382">
        <f>MONTH(tbl_RawSales[[#This Row],[Order Date]])</f>
        <v>2</v>
      </c>
      <c r="M382" t="str">
        <f>TEXT(tbl_RawSales[[#This Row],[Order Date]],"ddd")</f>
        <v>Sat</v>
      </c>
      <c r="N382">
        <f>WEEKDAY(tbl_RawSales[[#This Row],[Order Date]],2)</f>
        <v>6</v>
      </c>
    </row>
    <row r="383" spans="1:14" x14ac:dyDescent="0.25">
      <c r="A383" t="s">
        <v>433</v>
      </c>
      <c r="B383" s="20">
        <v>45744</v>
      </c>
      <c r="C383" t="s">
        <v>28</v>
      </c>
      <c r="D383" t="s">
        <v>29</v>
      </c>
      <c r="E383" t="s">
        <v>41</v>
      </c>
      <c r="F383" t="s">
        <v>23</v>
      </c>
      <c r="G383">
        <v>1</v>
      </c>
      <c r="H383" s="1">
        <v>12.99</v>
      </c>
      <c r="I383" s="1">
        <v>12.99</v>
      </c>
      <c r="J383">
        <v>2</v>
      </c>
      <c r="K383" t="str">
        <f>TEXT(tbl_RawSales[[#This Row],[Order Date]],"mmm")</f>
        <v>Mar</v>
      </c>
      <c r="L383">
        <f>MONTH(tbl_RawSales[[#This Row],[Order Date]])</f>
        <v>3</v>
      </c>
      <c r="M383" t="str">
        <f>TEXT(tbl_RawSales[[#This Row],[Order Date]],"ddd")</f>
        <v>Fri</v>
      </c>
      <c r="N383">
        <f>WEEKDAY(tbl_RawSales[[#This Row],[Order Date]],2)</f>
        <v>5</v>
      </c>
    </row>
    <row r="384" spans="1:14" x14ac:dyDescent="0.25">
      <c r="A384" t="s">
        <v>434</v>
      </c>
      <c r="B384" s="20">
        <v>45317</v>
      </c>
      <c r="C384" t="s">
        <v>21</v>
      </c>
      <c r="D384" t="s">
        <v>12</v>
      </c>
      <c r="E384" t="s">
        <v>66</v>
      </c>
      <c r="F384" t="s">
        <v>67</v>
      </c>
      <c r="G384">
        <v>1</v>
      </c>
      <c r="H384" s="1">
        <v>7.99</v>
      </c>
      <c r="I384" s="1">
        <v>7.99</v>
      </c>
      <c r="J384">
        <v>5</v>
      </c>
      <c r="K384" t="str">
        <f>TEXT(tbl_RawSales[[#This Row],[Order Date]],"mmm")</f>
        <v>Jan</v>
      </c>
      <c r="L384">
        <f>MONTH(tbl_RawSales[[#This Row],[Order Date]])</f>
        <v>1</v>
      </c>
      <c r="M384" t="str">
        <f>TEXT(tbl_RawSales[[#This Row],[Order Date]],"ddd")</f>
        <v>Fri</v>
      </c>
      <c r="N384">
        <f>WEEKDAY(tbl_RawSales[[#This Row],[Order Date]],2)</f>
        <v>5</v>
      </c>
    </row>
    <row r="385" spans="1:14" x14ac:dyDescent="0.25">
      <c r="A385" t="s">
        <v>435</v>
      </c>
      <c r="B385" s="20">
        <v>45436</v>
      </c>
      <c r="C385" t="s">
        <v>45</v>
      </c>
      <c r="D385" t="s">
        <v>29</v>
      </c>
      <c r="E385" t="s">
        <v>30</v>
      </c>
      <c r="F385" t="s">
        <v>19</v>
      </c>
      <c r="G385">
        <v>2</v>
      </c>
      <c r="H385" s="1">
        <v>7.99</v>
      </c>
      <c r="I385" s="1">
        <v>15.98</v>
      </c>
      <c r="J385">
        <v>4</v>
      </c>
      <c r="K385" t="str">
        <f>TEXT(tbl_RawSales[[#This Row],[Order Date]],"mmm")</f>
        <v>May</v>
      </c>
      <c r="L385">
        <f>MONTH(tbl_RawSales[[#This Row],[Order Date]])</f>
        <v>5</v>
      </c>
      <c r="M385" t="str">
        <f>TEXT(tbl_RawSales[[#This Row],[Order Date]],"ddd")</f>
        <v>Fri</v>
      </c>
      <c r="N385">
        <f>WEEKDAY(tbl_RawSales[[#This Row],[Order Date]],2)</f>
        <v>5</v>
      </c>
    </row>
    <row r="386" spans="1:14" x14ac:dyDescent="0.25">
      <c r="A386" t="s">
        <v>436</v>
      </c>
      <c r="B386" s="20">
        <v>45640</v>
      </c>
      <c r="C386" t="s">
        <v>97</v>
      </c>
      <c r="D386" t="s">
        <v>29</v>
      </c>
      <c r="E386" t="s">
        <v>50</v>
      </c>
      <c r="F386" t="s">
        <v>14</v>
      </c>
      <c r="G386">
        <v>2</v>
      </c>
      <c r="H386" s="1">
        <v>22.99</v>
      </c>
      <c r="I386" s="1">
        <v>45.98</v>
      </c>
      <c r="J386">
        <v>4</v>
      </c>
      <c r="K386" t="str">
        <f>TEXT(tbl_RawSales[[#This Row],[Order Date]],"mmm")</f>
        <v>Dec</v>
      </c>
      <c r="L386">
        <f>MONTH(tbl_RawSales[[#This Row],[Order Date]])</f>
        <v>12</v>
      </c>
      <c r="M386" t="str">
        <f>TEXT(tbl_RawSales[[#This Row],[Order Date]],"ddd")</f>
        <v>Sat</v>
      </c>
      <c r="N386">
        <f>WEEKDAY(tbl_RawSales[[#This Row],[Order Date]],2)</f>
        <v>6</v>
      </c>
    </row>
    <row r="387" spans="1:14" x14ac:dyDescent="0.25">
      <c r="A387" t="s">
        <v>437</v>
      </c>
      <c r="B387" s="20">
        <v>45990</v>
      </c>
      <c r="C387" t="s">
        <v>32</v>
      </c>
      <c r="D387" t="s">
        <v>12</v>
      </c>
      <c r="E387" t="s">
        <v>112</v>
      </c>
      <c r="F387" t="s">
        <v>19</v>
      </c>
      <c r="G387">
        <v>1</v>
      </c>
      <c r="H387" s="1">
        <v>5.99</v>
      </c>
      <c r="I387" s="1">
        <v>5.99</v>
      </c>
      <c r="J387">
        <v>5</v>
      </c>
      <c r="K387" t="str">
        <f>TEXT(tbl_RawSales[[#This Row],[Order Date]],"mmm")</f>
        <v>Nov</v>
      </c>
      <c r="L387">
        <f>MONTH(tbl_RawSales[[#This Row],[Order Date]])</f>
        <v>11</v>
      </c>
      <c r="M387" t="str">
        <f>TEXT(tbl_RawSales[[#This Row],[Order Date]],"ddd")</f>
        <v>Sat</v>
      </c>
      <c r="N387">
        <f>WEEKDAY(tbl_RawSales[[#This Row],[Order Date]],2)</f>
        <v>6</v>
      </c>
    </row>
    <row r="388" spans="1:14" x14ac:dyDescent="0.25">
      <c r="A388" t="s">
        <v>438</v>
      </c>
      <c r="B388" s="20">
        <v>45610</v>
      </c>
      <c r="C388" t="s">
        <v>11</v>
      </c>
      <c r="D388" t="s">
        <v>29</v>
      </c>
      <c r="E388" t="s">
        <v>30</v>
      </c>
      <c r="F388" t="s">
        <v>19</v>
      </c>
      <c r="G388">
        <v>2</v>
      </c>
      <c r="H388" s="1">
        <v>7.99</v>
      </c>
      <c r="I388" s="1">
        <v>15.98</v>
      </c>
      <c r="J388">
        <v>4</v>
      </c>
      <c r="K388" t="str">
        <f>TEXT(tbl_RawSales[[#This Row],[Order Date]],"mmm")</f>
        <v>Nov</v>
      </c>
      <c r="L388">
        <f>MONTH(tbl_RawSales[[#This Row],[Order Date]])</f>
        <v>11</v>
      </c>
      <c r="M388" t="str">
        <f>TEXT(tbl_RawSales[[#This Row],[Order Date]],"ddd")</f>
        <v>Thu</v>
      </c>
      <c r="N388">
        <f>WEEKDAY(tbl_RawSales[[#This Row],[Order Date]],2)</f>
        <v>4</v>
      </c>
    </row>
    <row r="389" spans="1:14" x14ac:dyDescent="0.25">
      <c r="A389" t="s">
        <v>439</v>
      </c>
      <c r="B389" s="20">
        <v>45786</v>
      </c>
      <c r="C389" t="s">
        <v>16</v>
      </c>
      <c r="D389" t="s">
        <v>29</v>
      </c>
      <c r="E389" t="s">
        <v>41</v>
      </c>
      <c r="F389" t="s">
        <v>23</v>
      </c>
      <c r="G389">
        <v>1</v>
      </c>
      <c r="H389" s="1">
        <v>12.99</v>
      </c>
      <c r="I389" s="1">
        <v>12.99</v>
      </c>
      <c r="J389">
        <v>3</v>
      </c>
      <c r="K389" t="str">
        <f>TEXT(tbl_RawSales[[#This Row],[Order Date]],"mmm")</f>
        <v>May</v>
      </c>
      <c r="L389">
        <f>MONTH(tbl_RawSales[[#This Row],[Order Date]])</f>
        <v>5</v>
      </c>
      <c r="M389" t="str">
        <f>TEXT(tbl_RawSales[[#This Row],[Order Date]],"ddd")</f>
        <v>Fri</v>
      </c>
      <c r="N389">
        <f>WEEKDAY(tbl_RawSales[[#This Row],[Order Date]],2)</f>
        <v>5</v>
      </c>
    </row>
    <row r="390" spans="1:14" x14ac:dyDescent="0.25">
      <c r="A390" t="s">
        <v>440</v>
      </c>
      <c r="B390" s="20">
        <v>45555</v>
      </c>
      <c r="C390" t="s">
        <v>38</v>
      </c>
      <c r="D390" t="s">
        <v>29</v>
      </c>
      <c r="E390" t="s">
        <v>83</v>
      </c>
      <c r="F390" t="s">
        <v>14</v>
      </c>
      <c r="G390">
        <v>3</v>
      </c>
      <c r="H390" s="1">
        <v>17.989999999999998</v>
      </c>
      <c r="I390" s="1">
        <v>53.97</v>
      </c>
      <c r="J390">
        <v>5</v>
      </c>
      <c r="K390" t="str">
        <f>TEXT(tbl_RawSales[[#This Row],[Order Date]],"mmm")</f>
        <v>Sept</v>
      </c>
      <c r="L390">
        <f>MONTH(tbl_RawSales[[#This Row],[Order Date]])</f>
        <v>9</v>
      </c>
      <c r="M390" t="str">
        <f>TEXT(tbl_RawSales[[#This Row],[Order Date]],"ddd")</f>
        <v>Fri</v>
      </c>
      <c r="N390">
        <f>WEEKDAY(tbl_RawSales[[#This Row],[Order Date]],2)</f>
        <v>5</v>
      </c>
    </row>
    <row r="391" spans="1:14" x14ac:dyDescent="0.25">
      <c r="A391" t="s">
        <v>441</v>
      </c>
      <c r="B391" s="20">
        <v>45922</v>
      </c>
      <c r="C391" t="s">
        <v>45</v>
      </c>
      <c r="D391" t="s">
        <v>29</v>
      </c>
      <c r="E391" t="s">
        <v>39</v>
      </c>
      <c r="F391" t="s">
        <v>14</v>
      </c>
      <c r="G391">
        <v>2</v>
      </c>
      <c r="H391" s="1">
        <v>24.99</v>
      </c>
      <c r="I391" s="1">
        <v>49.98</v>
      </c>
      <c r="J391">
        <v>3</v>
      </c>
      <c r="K391" t="str">
        <f>TEXT(tbl_RawSales[[#This Row],[Order Date]],"mmm")</f>
        <v>Sept</v>
      </c>
      <c r="L391">
        <f>MONTH(tbl_RawSales[[#This Row],[Order Date]])</f>
        <v>9</v>
      </c>
      <c r="M391" t="str">
        <f>TEXT(tbl_RawSales[[#This Row],[Order Date]],"ddd")</f>
        <v>Mon</v>
      </c>
      <c r="N391">
        <f>WEEKDAY(tbl_RawSales[[#This Row],[Order Date]],2)</f>
        <v>1</v>
      </c>
    </row>
    <row r="392" spans="1:14" x14ac:dyDescent="0.25">
      <c r="A392" t="s">
        <v>442</v>
      </c>
      <c r="B392" s="20">
        <v>45903</v>
      </c>
      <c r="C392" t="s">
        <v>97</v>
      </c>
      <c r="D392" t="s">
        <v>17</v>
      </c>
      <c r="E392" t="s">
        <v>221</v>
      </c>
      <c r="F392" t="s">
        <v>67</v>
      </c>
      <c r="G392">
        <v>1</v>
      </c>
      <c r="H392" s="1">
        <v>9.99</v>
      </c>
      <c r="I392" s="1">
        <v>9.99</v>
      </c>
      <c r="J392">
        <v>3</v>
      </c>
      <c r="K392" t="str">
        <f>TEXT(tbl_RawSales[[#This Row],[Order Date]],"mmm")</f>
        <v>Sept</v>
      </c>
      <c r="L392">
        <f>MONTH(tbl_RawSales[[#This Row],[Order Date]])</f>
        <v>9</v>
      </c>
      <c r="M392" t="str">
        <f>TEXT(tbl_RawSales[[#This Row],[Order Date]],"ddd")</f>
        <v>Wed</v>
      </c>
      <c r="N392">
        <f>WEEKDAY(tbl_RawSales[[#This Row],[Order Date]],2)</f>
        <v>3</v>
      </c>
    </row>
    <row r="393" spans="1:14" x14ac:dyDescent="0.25">
      <c r="A393" t="s">
        <v>443</v>
      </c>
      <c r="B393" s="20">
        <v>45742</v>
      </c>
      <c r="C393" t="s">
        <v>32</v>
      </c>
      <c r="D393" t="s">
        <v>12</v>
      </c>
      <c r="E393" t="s">
        <v>69</v>
      </c>
      <c r="F393" t="s">
        <v>67</v>
      </c>
      <c r="G393">
        <v>2</v>
      </c>
      <c r="H393" s="1">
        <v>8.99</v>
      </c>
      <c r="I393" s="1">
        <v>17.98</v>
      </c>
      <c r="J393">
        <v>5</v>
      </c>
      <c r="K393" t="str">
        <f>TEXT(tbl_RawSales[[#This Row],[Order Date]],"mmm")</f>
        <v>Mar</v>
      </c>
      <c r="L393">
        <f>MONTH(tbl_RawSales[[#This Row],[Order Date]])</f>
        <v>3</v>
      </c>
      <c r="M393" t="str">
        <f>TEXT(tbl_RawSales[[#This Row],[Order Date]],"ddd")</f>
        <v>Wed</v>
      </c>
      <c r="N393">
        <f>WEEKDAY(tbl_RawSales[[#This Row],[Order Date]],2)</f>
        <v>3</v>
      </c>
    </row>
    <row r="394" spans="1:14" x14ac:dyDescent="0.25">
      <c r="A394" t="s">
        <v>444</v>
      </c>
      <c r="B394" s="20">
        <v>45899</v>
      </c>
      <c r="C394" t="s">
        <v>21</v>
      </c>
      <c r="D394" t="s">
        <v>29</v>
      </c>
      <c r="E394" t="s">
        <v>66</v>
      </c>
      <c r="F394" t="s">
        <v>67</v>
      </c>
      <c r="G394">
        <v>1</v>
      </c>
      <c r="H394" s="1">
        <v>7.99</v>
      </c>
      <c r="I394" s="1">
        <v>7.99</v>
      </c>
      <c r="J394">
        <v>3</v>
      </c>
      <c r="K394" t="str">
        <f>TEXT(tbl_RawSales[[#This Row],[Order Date]],"mmm")</f>
        <v>Aug</v>
      </c>
      <c r="L394">
        <f>MONTH(tbl_RawSales[[#This Row],[Order Date]])</f>
        <v>8</v>
      </c>
      <c r="M394" t="str">
        <f>TEXT(tbl_RawSales[[#This Row],[Order Date]],"ddd")</f>
        <v>Sat</v>
      </c>
      <c r="N394">
        <f>WEEKDAY(tbl_RawSales[[#This Row],[Order Date]],2)</f>
        <v>6</v>
      </c>
    </row>
    <row r="395" spans="1:14" x14ac:dyDescent="0.25">
      <c r="A395" t="s">
        <v>445</v>
      </c>
      <c r="B395" s="20">
        <v>45753</v>
      </c>
      <c r="C395" t="s">
        <v>25</v>
      </c>
      <c r="D395" t="s">
        <v>12</v>
      </c>
      <c r="E395" t="s">
        <v>52</v>
      </c>
      <c r="F395" t="s">
        <v>19</v>
      </c>
      <c r="G395">
        <v>3</v>
      </c>
      <c r="H395" s="1">
        <v>6.99</v>
      </c>
      <c r="I395" s="1">
        <v>20.97</v>
      </c>
      <c r="J395">
        <v>4</v>
      </c>
      <c r="K395" t="str">
        <f>TEXT(tbl_RawSales[[#This Row],[Order Date]],"mmm")</f>
        <v>Apr</v>
      </c>
      <c r="L395">
        <f>MONTH(tbl_RawSales[[#This Row],[Order Date]])</f>
        <v>4</v>
      </c>
      <c r="M395" t="str">
        <f>TEXT(tbl_RawSales[[#This Row],[Order Date]],"ddd")</f>
        <v>Sun</v>
      </c>
      <c r="N395">
        <f>WEEKDAY(tbl_RawSales[[#This Row],[Order Date]],2)</f>
        <v>7</v>
      </c>
    </row>
    <row r="396" spans="1:14" x14ac:dyDescent="0.25">
      <c r="A396" t="s">
        <v>446</v>
      </c>
      <c r="B396" s="20">
        <v>45550</v>
      </c>
      <c r="C396" t="s">
        <v>34</v>
      </c>
      <c r="D396" t="s">
        <v>17</v>
      </c>
      <c r="E396" t="s">
        <v>176</v>
      </c>
      <c r="F396" t="s">
        <v>67</v>
      </c>
      <c r="G396">
        <v>1</v>
      </c>
      <c r="H396" s="1">
        <v>11.99</v>
      </c>
      <c r="I396" s="1">
        <v>11.99</v>
      </c>
      <c r="J396">
        <v>4</v>
      </c>
      <c r="K396" t="str">
        <f>TEXT(tbl_RawSales[[#This Row],[Order Date]],"mmm")</f>
        <v>Sept</v>
      </c>
      <c r="L396">
        <f>MONTH(tbl_RawSales[[#This Row],[Order Date]])</f>
        <v>9</v>
      </c>
      <c r="M396" t="str">
        <f>TEXT(tbl_RawSales[[#This Row],[Order Date]],"ddd")</f>
        <v>Sun</v>
      </c>
      <c r="N396">
        <f>WEEKDAY(tbl_RawSales[[#This Row],[Order Date]],2)</f>
        <v>7</v>
      </c>
    </row>
    <row r="397" spans="1:14" x14ac:dyDescent="0.25">
      <c r="A397" t="s">
        <v>447</v>
      </c>
      <c r="B397" s="20">
        <v>45884</v>
      </c>
      <c r="C397" t="s">
        <v>38</v>
      </c>
      <c r="D397" t="s">
        <v>17</v>
      </c>
      <c r="E397" t="s">
        <v>36</v>
      </c>
      <c r="F397" t="s">
        <v>14</v>
      </c>
      <c r="G397">
        <v>3</v>
      </c>
      <c r="H397" s="1">
        <v>16.989999999999998</v>
      </c>
      <c r="I397" s="1">
        <v>50.97</v>
      </c>
      <c r="J397">
        <v>4</v>
      </c>
      <c r="K397" t="str">
        <f>TEXT(tbl_RawSales[[#This Row],[Order Date]],"mmm")</f>
        <v>Aug</v>
      </c>
      <c r="L397">
        <f>MONTH(tbl_RawSales[[#This Row],[Order Date]])</f>
        <v>8</v>
      </c>
      <c r="M397" t="str">
        <f>TEXT(tbl_RawSales[[#This Row],[Order Date]],"ddd")</f>
        <v>Fri</v>
      </c>
      <c r="N397">
        <f>WEEKDAY(tbl_RawSales[[#This Row],[Order Date]],2)</f>
        <v>5</v>
      </c>
    </row>
    <row r="398" spans="1:14" x14ac:dyDescent="0.25">
      <c r="A398" t="s">
        <v>448</v>
      </c>
      <c r="B398" s="20">
        <v>45963</v>
      </c>
      <c r="C398" t="s">
        <v>28</v>
      </c>
      <c r="D398" t="s">
        <v>29</v>
      </c>
      <c r="E398" t="s">
        <v>22</v>
      </c>
      <c r="F398" t="s">
        <v>23</v>
      </c>
      <c r="G398">
        <v>1</v>
      </c>
      <c r="H398" s="1">
        <v>8.99</v>
      </c>
      <c r="I398" s="1">
        <v>8.99</v>
      </c>
      <c r="J398">
        <v>4</v>
      </c>
      <c r="K398" t="str">
        <f>TEXT(tbl_RawSales[[#This Row],[Order Date]],"mmm")</f>
        <v>Nov</v>
      </c>
      <c r="L398">
        <f>MONTH(tbl_RawSales[[#This Row],[Order Date]])</f>
        <v>11</v>
      </c>
      <c r="M398" t="str">
        <f>TEXT(tbl_RawSales[[#This Row],[Order Date]],"ddd")</f>
        <v>Sun</v>
      </c>
      <c r="N398">
        <f>WEEKDAY(tbl_RawSales[[#This Row],[Order Date]],2)</f>
        <v>7</v>
      </c>
    </row>
    <row r="399" spans="1:14" x14ac:dyDescent="0.25">
      <c r="A399" t="s">
        <v>449</v>
      </c>
      <c r="B399" s="20">
        <v>45587</v>
      </c>
      <c r="C399" t="s">
        <v>34</v>
      </c>
      <c r="D399" t="s">
        <v>29</v>
      </c>
      <c r="E399" t="s">
        <v>62</v>
      </c>
      <c r="F399" t="s">
        <v>23</v>
      </c>
      <c r="G399">
        <v>1</v>
      </c>
      <c r="H399" s="1">
        <v>9.99</v>
      </c>
      <c r="I399" s="1">
        <v>9.99</v>
      </c>
      <c r="J399">
        <v>3</v>
      </c>
      <c r="K399" t="str">
        <f>TEXT(tbl_RawSales[[#This Row],[Order Date]],"mmm")</f>
        <v>Oct</v>
      </c>
      <c r="L399">
        <f>MONTH(tbl_RawSales[[#This Row],[Order Date]])</f>
        <v>10</v>
      </c>
      <c r="M399" t="str">
        <f>TEXT(tbl_RawSales[[#This Row],[Order Date]],"ddd")</f>
        <v>Tue</v>
      </c>
      <c r="N399">
        <f>WEEKDAY(tbl_RawSales[[#This Row],[Order Date]],2)</f>
        <v>2</v>
      </c>
    </row>
    <row r="400" spans="1:14" x14ac:dyDescent="0.25">
      <c r="A400" t="s">
        <v>450</v>
      </c>
      <c r="B400" s="20">
        <v>45495</v>
      </c>
      <c r="C400" t="s">
        <v>32</v>
      </c>
      <c r="D400" t="s">
        <v>17</v>
      </c>
      <c r="E400" t="s">
        <v>22</v>
      </c>
      <c r="F400" t="s">
        <v>23</v>
      </c>
      <c r="G400">
        <v>1</v>
      </c>
      <c r="H400" s="1">
        <v>8.99</v>
      </c>
      <c r="I400" s="1">
        <v>8.99</v>
      </c>
      <c r="J400">
        <v>3</v>
      </c>
      <c r="K400" t="str">
        <f>TEXT(tbl_RawSales[[#This Row],[Order Date]],"mmm")</f>
        <v>Jul</v>
      </c>
      <c r="L400">
        <f>MONTH(tbl_RawSales[[#This Row],[Order Date]])</f>
        <v>7</v>
      </c>
      <c r="M400" t="str">
        <f>TEXT(tbl_RawSales[[#This Row],[Order Date]],"ddd")</f>
        <v>Mon</v>
      </c>
      <c r="N400">
        <f>WEEKDAY(tbl_RawSales[[#This Row],[Order Date]],2)</f>
        <v>1</v>
      </c>
    </row>
    <row r="401" spans="1:14" x14ac:dyDescent="0.25">
      <c r="A401" t="s">
        <v>451</v>
      </c>
      <c r="B401" s="20">
        <v>45952</v>
      </c>
      <c r="C401" t="s">
        <v>45</v>
      </c>
      <c r="D401" t="s">
        <v>17</v>
      </c>
      <c r="E401" t="s">
        <v>22</v>
      </c>
      <c r="F401" t="s">
        <v>23</v>
      </c>
      <c r="G401">
        <v>1</v>
      </c>
      <c r="H401" s="1">
        <v>8.99</v>
      </c>
      <c r="I401" s="1">
        <v>8.99</v>
      </c>
      <c r="J401">
        <v>5</v>
      </c>
      <c r="K401" t="str">
        <f>TEXT(tbl_RawSales[[#This Row],[Order Date]],"mmm")</f>
        <v>Oct</v>
      </c>
      <c r="L401">
        <f>MONTH(tbl_RawSales[[#This Row],[Order Date]])</f>
        <v>10</v>
      </c>
      <c r="M401" t="str">
        <f>TEXT(tbl_RawSales[[#This Row],[Order Date]],"ddd")</f>
        <v>Wed</v>
      </c>
      <c r="N401">
        <f>WEEKDAY(tbl_RawSales[[#This Row],[Order Date]],2)</f>
        <v>3</v>
      </c>
    </row>
    <row r="402" spans="1:14" x14ac:dyDescent="0.25">
      <c r="A402" t="s">
        <v>452</v>
      </c>
      <c r="B402" s="20">
        <v>45362</v>
      </c>
      <c r="C402" t="s">
        <v>28</v>
      </c>
      <c r="D402" t="s">
        <v>17</v>
      </c>
      <c r="E402" t="s">
        <v>55</v>
      </c>
      <c r="F402" t="s">
        <v>23</v>
      </c>
      <c r="G402">
        <v>2</v>
      </c>
      <c r="H402" s="1">
        <v>10.99</v>
      </c>
      <c r="I402" s="1">
        <v>21.98</v>
      </c>
      <c r="J402">
        <v>4</v>
      </c>
      <c r="K402" t="str">
        <f>TEXT(tbl_RawSales[[#This Row],[Order Date]],"mmm")</f>
        <v>Mar</v>
      </c>
      <c r="L402">
        <f>MONTH(tbl_RawSales[[#This Row],[Order Date]])</f>
        <v>3</v>
      </c>
      <c r="M402" t="str">
        <f>TEXT(tbl_RawSales[[#This Row],[Order Date]],"ddd")</f>
        <v>Mon</v>
      </c>
      <c r="N402">
        <f>WEEKDAY(tbl_RawSales[[#This Row],[Order Date]],2)</f>
        <v>1</v>
      </c>
    </row>
    <row r="403" spans="1:14" x14ac:dyDescent="0.25">
      <c r="A403" t="s">
        <v>453</v>
      </c>
      <c r="B403" s="20">
        <v>45355</v>
      </c>
      <c r="C403" t="s">
        <v>34</v>
      </c>
      <c r="D403" t="s">
        <v>29</v>
      </c>
      <c r="E403" t="s">
        <v>36</v>
      </c>
      <c r="F403" t="s">
        <v>14</v>
      </c>
      <c r="G403">
        <v>1</v>
      </c>
      <c r="H403" s="1">
        <v>16.989999999999998</v>
      </c>
      <c r="I403" s="1">
        <v>16.989999999999998</v>
      </c>
      <c r="J403">
        <v>4</v>
      </c>
      <c r="K403" t="str">
        <f>TEXT(tbl_RawSales[[#This Row],[Order Date]],"mmm")</f>
        <v>Mar</v>
      </c>
      <c r="L403">
        <f>MONTH(tbl_RawSales[[#This Row],[Order Date]])</f>
        <v>3</v>
      </c>
      <c r="M403" t="str">
        <f>TEXT(tbl_RawSales[[#This Row],[Order Date]],"ddd")</f>
        <v>Mon</v>
      </c>
      <c r="N403">
        <f>WEEKDAY(tbl_RawSales[[#This Row],[Order Date]],2)</f>
        <v>1</v>
      </c>
    </row>
    <row r="404" spans="1:14" x14ac:dyDescent="0.25">
      <c r="A404" t="s">
        <v>454</v>
      </c>
      <c r="B404" s="20">
        <v>45347</v>
      </c>
      <c r="C404" t="s">
        <v>38</v>
      </c>
      <c r="D404" t="s">
        <v>17</v>
      </c>
      <c r="E404" t="s">
        <v>46</v>
      </c>
      <c r="F404" t="s">
        <v>14</v>
      </c>
      <c r="G404">
        <v>2</v>
      </c>
      <c r="H404" s="1">
        <v>32.99</v>
      </c>
      <c r="I404" s="1">
        <v>65.98</v>
      </c>
      <c r="J404">
        <v>4</v>
      </c>
      <c r="K404" t="str">
        <f>TEXT(tbl_RawSales[[#This Row],[Order Date]],"mmm")</f>
        <v>Feb</v>
      </c>
      <c r="L404">
        <f>MONTH(tbl_RawSales[[#This Row],[Order Date]])</f>
        <v>2</v>
      </c>
      <c r="M404" t="str">
        <f>TEXT(tbl_RawSales[[#This Row],[Order Date]],"ddd")</f>
        <v>Sun</v>
      </c>
      <c r="N404">
        <f>WEEKDAY(tbl_RawSales[[#This Row],[Order Date]],2)</f>
        <v>7</v>
      </c>
    </row>
    <row r="405" spans="1:14" x14ac:dyDescent="0.25">
      <c r="A405" t="s">
        <v>455</v>
      </c>
      <c r="B405" s="20">
        <v>45578</v>
      </c>
      <c r="C405" t="s">
        <v>32</v>
      </c>
      <c r="D405" t="s">
        <v>29</v>
      </c>
      <c r="E405" t="s">
        <v>43</v>
      </c>
      <c r="F405" t="s">
        <v>23</v>
      </c>
      <c r="G405">
        <v>3</v>
      </c>
      <c r="H405" s="1">
        <v>11.99</v>
      </c>
      <c r="I405" s="1">
        <v>35.97</v>
      </c>
      <c r="J405">
        <v>5</v>
      </c>
      <c r="K405" t="str">
        <f>TEXT(tbl_RawSales[[#This Row],[Order Date]],"mmm")</f>
        <v>Oct</v>
      </c>
      <c r="L405">
        <f>MONTH(tbl_RawSales[[#This Row],[Order Date]])</f>
        <v>10</v>
      </c>
      <c r="M405" t="str">
        <f>TEXT(tbl_RawSales[[#This Row],[Order Date]],"ddd")</f>
        <v>Sun</v>
      </c>
      <c r="N405">
        <f>WEEKDAY(tbl_RawSales[[#This Row],[Order Date]],2)</f>
        <v>7</v>
      </c>
    </row>
    <row r="406" spans="1:14" x14ac:dyDescent="0.25">
      <c r="A406" t="s">
        <v>456</v>
      </c>
      <c r="B406" s="20">
        <v>45942</v>
      </c>
      <c r="C406" t="s">
        <v>45</v>
      </c>
      <c r="D406" t="s">
        <v>29</v>
      </c>
      <c r="E406" t="s">
        <v>26</v>
      </c>
      <c r="F406" t="s">
        <v>19</v>
      </c>
      <c r="G406">
        <v>2</v>
      </c>
      <c r="H406" s="1">
        <v>3.49</v>
      </c>
      <c r="I406" s="1">
        <v>6.98</v>
      </c>
      <c r="J406">
        <v>5</v>
      </c>
      <c r="K406" t="str">
        <f>TEXT(tbl_RawSales[[#This Row],[Order Date]],"mmm")</f>
        <v>Oct</v>
      </c>
      <c r="L406">
        <f>MONTH(tbl_RawSales[[#This Row],[Order Date]])</f>
        <v>10</v>
      </c>
      <c r="M406" t="str">
        <f>TEXT(tbl_RawSales[[#This Row],[Order Date]],"ddd")</f>
        <v>Sun</v>
      </c>
      <c r="N406">
        <f>WEEKDAY(tbl_RawSales[[#This Row],[Order Date]],2)</f>
        <v>7</v>
      </c>
    </row>
    <row r="407" spans="1:14" x14ac:dyDescent="0.25">
      <c r="A407" t="s">
        <v>457</v>
      </c>
      <c r="B407" s="20">
        <v>45437</v>
      </c>
      <c r="C407" t="s">
        <v>11</v>
      </c>
      <c r="D407" t="s">
        <v>12</v>
      </c>
      <c r="E407" t="s">
        <v>176</v>
      </c>
      <c r="F407" t="s">
        <v>67</v>
      </c>
      <c r="G407">
        <v>1</v>
      </c>
      <c r="H407" s="1">
        <v>11.99</v>
      </c>
      <c r="I407" s="1">
        <v>11.99</v>
      </c>
      <c r="J407">
        <v>4</v>
      </c>
      <c r="K407" t="str">
        <f>TEXT(tbl_RawSales[[#This Row],[Order Date]],"mmm")</f>
        <v>May</v>
      </c>
      <c r="L407">
        <f>MONTH(tbl_RawSales[[#This Row],[Order Date]])</f>
        <v>5</v>
      </c>
      <c r="M407" t="str">
        <f>TEXT(tbl_RawSales[[#This Row],[Order Date]],"ddd")</f>
        <v>Sat</v>
      </c>
      <c r="N407">
        <f>WEEKDAY(tbl_RawSales[[#This Row],[Order Date]],2)</f>
        <v>6</v>
      </c>
    </row>
    <row r="408" spans="1:14" x14ac:dyDescent="0.25">
      <c r="A408" t="s">
        <v>458</v>
      </c>
      <c r="B408" s="20">
        <v>45564</v>
      </c>
      <c r="C408" t="s">
        <v>97</v>
      </c>
      <c r="D408" t="s">
        <v>29</v>
      </c>
      <c r="E408" t="s">
        <v>26</v>
      </c>
      <c r="F408" t="s">
        <v>19</v>
      </c>
      <c r="G408">
        <v>1</v>
      </c>
      <c r="H408" s="1">
        <v>3.49</v>
      </c>
      <c r="I408" s="1">
        <v>3.49</v>
      </c>
      <c r="J408">
        <v>4</v>
      </c>
      <c r="K408" t="str">
        <f>TEXT(tbl_RawSales[[#This Row],[Order Date]],"mmm")</f>
        <v>Sept</v>
      </c>
      <c r="L408">
        <f>MONTH(tbl_RawSales[[#This Row],[Order Date]])</f>
        <v>9</v>
      </c>
      <c r="M408" t="str">
        <f>TEXT(tbl_RawSales[[#This Row],[Order Date]],"ddd")</f>
        <v>Sun</v>
      </c>
      <c r="N408">
        <f>WEEKDAY(tbl_RawSales[[#This Row],[Order Date]],2)</f>
        <v>7</v>
      </c>
    </row>
    <row r="409" spans="1:14" x14ac:dyDescent="0.25">
      <c r="A409" t="s">
        <v>459</v>
      </c>
      <c r="B409" s="20">
        <v>45479</v>
      </c>
      <c r="C409" t="s">
        <v>34</v>
      </c>
      <c r="D409" t="s">
        <v>12</v>
      </c>
      <c r="E409" t="s">
        <v>46</v>
      </c>
      <c r="F409" t="s">
        <v>14</v>
      </c>
      <c r="G409">
        <v>2</v>
      </c>
      <c r="H409" s="1">
        <v>32.99</v>
      </c>
      <c r="I409" s="1">
        <v>65.98</v>
      </c>
      <c r="J409">
        <v>5</v>
      </c>
      <c r="K409" t="str">
        <f>TEXT(tbl_RawSales[[#This Row],[Order Date]],"mmm")</f>
        <v>Jul</v>
      </c>
      <c r="L409">
        <f>MONTH(tbl_RawSales[[#This Row],[Order Date]])</f>
        <v>7</v>
      </c>
      <c r="M409" t="str">
        <f>TEXT(tbl_RawSales[[#This Row],[Order Date]],"ddd")</f>
        <v>Sat</v>
      </c>
      <c r="N409">
        <f>WEEKDAY(tbl_RawSales[[#This Row],[Order Date]],2)</f>
        <v>6</v>
      </c>
    </row>
    <row r="410" spans="1:14" x14ac:dyDescent="0.25">
      <c r="A410" t="s">
        <v>460</v>
      </c>
      <c r="B410" s="20">
        <v>45892</v>
      </c>
      <c r="C410" t="s">
        <v>32</v>
      </c>
      <c r="D410" t="s">
        <v>29</v>
      </c>
      <c r="E410" t="s">
        <v>41</v>
      </c>
      <c r="F410" t="s">
        <v>23</v>
      </c>
      <c r="G410">
        <v>3</v>
      </c>
      <c r="H410" s="1">
        <v>12.99</v>
      </c>
      <c r="I410" s="1">
        <v>38.97</v>
      </c>
      <c r="J410">
        <v>5</v>
      </c>
      <c r="K410" t="str">
        <f>TEXT(tbl_RawSales[[#This Row],[Order Date]],"mmm")</f>
        <v>Aug</v>
      </c>
      <c r="L410">
        <f>MONTH(tbl_RawSales[[#This Row],[Order Date]])</f>
        <v>8</v>
      </c>
      <c r="M410" t="str">
        <f>TEXT(tbl_RawSales[[#This Row],[Order Date]],"ddd")</f>
        <v>Sat</v>
      </c>
      <c r="N410">
        <f>WEEKDAY(tbl_RawSales[[#This Row],[Order Date]],2)</f>
        <v>6</v>
      </c>
    </row>
    <row r="411" spans="1:14" x14ac:dyDescent="0.25">
      <c r="A411" t="s">
        <v>461</v>
      </c>
      <c r="B411" s="20">
        <v>45751</v>
      </c>
      <c r="C411" t="s">
        <v>97</v>
      </c>
      <c r="D411" t="s">
        <v>17</v>
      </c>
      <c r="E411" t="s">
        <v>36</v>
      </c>
      <c r="F411" t="s">
        <v>14</v>
      </c>
      <c r="G411">
        <v>1</v>
      </c>
      <c r="H411" s="1">
        <v>16.989999999999998</v>
      </c>
      <c r="I411" s="1">
        <v>16.989999999999998</v>
      </c>
      <c r="J411">
        <v>4</v>
      </c>
      <c r="K411" t="str">
        <f>TEXT(tbl_RawSales[[#This Row],[Order Date]],"mmm")</f>
        <v>Apr</v>
      </c>
      <c r="L411">
        <f>MONTH(tbl_RawSales[[#This Row],[Order Date]])</f>
        <v>4</v>
      </c>
      <c r="M411" t="str">
        <f>TEXT(tbl_RawSales[[#This Row],[Order Date]],"ddd")</f>
        <v>Fri</v>
      </c>
      <c r="N411">
        <f>WEEKDAY(tbl_RawSales[[#This Row],[Order Date]],2)</f>
        <v>5</v>
      </c>
    </row>
    <row r="412" spans="1:14" x14ac:dyDescent="0.25">
      <c r="A412" t="s">
        <v>462</v>
      </c>
      <c r="B412" s="20">
        <v>45612</v>
      </c>
      <c r="C412" t="s">
        <v>32</v>
      </c>
      <c r="D412" t="s">
        <v>29</v>
      </c>
      <c r="E412" t="s">
        <v>55</v>
      </c>
      <c r="F412" t="s">
        <v>23</v>
      </c>
      <c r="G412">
        <v>1</v>
      </c>
      <c r="H412" s="1">
        <v>10.99</v>
      </c>
      <c r="I412" s="1">
        <v>10.99</v>
      </c>
      <c r="J412">
        <v>4</v>
      </c>
      <c r="K412" t="str">
        <f>TEXT(tbl_RawSales[[#This Row],[Order Date]],"mmm")</f>
        <v>Nov</v>
      </c>
      <c r="L412">
        <f>MONTH(tbl_RawSales[[#This Row],[Order Date]])</f>
        <v>11</v>
      </c>
      <c r="M412" t="str">
        <f>TEXT(tbl_RawSales[[#This Row],[Order Date]],"ddd")</f>
        <v>Sat</v>
      </c>
      <c r="N412">
        <f>WEEKDAY(tbl_RawSales[[#This Row],[Order Date]],2)</f>
        <v>6</v>
      </c>
    </row>
    <row r="413" spans="1:14" x14ac:dyDescent="0.25">
      <c r="A413" t="s">
        <v>463</v>
      </c>
      <c r="B413" s="20">
        <v>45716</v>
      </c>
      <c r="C413" t="s">
        <v>45</v>
      </c>
      <c r="D413" t="s">
        <v>17</v>
      </c>
      <c r="E413" t="s">
        <v>57</v>
      </c>
      <c r="F413" t="s">
        <v>14</v>
      </c>
      <c r="G413">
        <v>2</v>
      </c>
      <c r="H413" s="1">
        <v>15.99</v>
      </c>
      <c r="I413" s="1">
        <v>31.98</v>
      </c>
      <c r="J413">
        <v>4</v>
      </c>
      <c r="K413" t="str">
        <f>TEXT(tbl_RawSales[[#This Row],[Order Date]],"mmm")</f>
        <v>Feb</v>
      </c>
      <c r="L413">
        <f>MONTH(tbl_RawSales[[#This Row],[Order Date]])</f>
        <v>2</v>
      </c>
      <c r="M413" t="str">
        <f>TEXT(tbl_RawSales[[#This Row],[Order Date]],"ddd")</f>
        <v>Fri</v>
      </c>
      <c r="N413">
        <f>WEEKDAY(tbl_RawSales[[#This Row],[Order Date]],2)</f>
        <v>5</v>
      </c>
    </row>
    <row r="414" spans="1:14" x14ac:dyDescent="0.25">
      <c r="A414" t="s">
        <v>464</v>
      </c>
      <c r="B414" s="20">
        <v>45488</v>
      </c>
      <c r="C414" t="s">
        <v>34</v>
      </c>
      <c r="D414" t="s">
        <v>17</v>
      </c>
      <c r="E414" t="s">
        <v>50</v>
      </c>
      <c r="F414" t="s">
        <v>14</v>
      </c>
      <c r="G414">
        <v>1</v>
      </c>
      <c r="H414" s="1">
        <v>22.99</v>
      </c>
      <c r="I414" s="1">
        <v>22.99</v>
      </c>
      <c r="J414">
        <v>2</v>
      </c>
      <c r="K414" t="str">
        <f>TEXT(tbl_RawSales[[#This Row],[Order Date]],"mmm")</f>
        <v>Jul</v>
      </c>
      <c r="L414">
        <f>MONTH(tbl_RawSales[[#This Row],[Order Date]])</f>
        <v>7</v>
      </c>
      <c r="M414" t="str">
        <f>TEXT(tbl_RawSales[[#This Row],[Order Date]],"ddd")</f>
        <v>Mon</v>
      </c>
      <c r="N414">
        <f>WEEKDAY(tbl_RawSales[[#This Row],[Order Date]],2)</f>
        <v>1</v>
      </c>
    </row>
    <row r="415" spans="1:14" x14ac:dyDescent="0.25">
      <c r="A415" t="s">
        <v>465</v>
      </c>
      <c r="B415" s="20">
        <v>45776</v>
      </c>
      <c r="C415" t="s">
        <v>11</v>
      </c>
      <c r="D415" t="s">
        <v>29</v>
      </c>
      <c r="E415" t="s">
        <v>50</v>
      </c>
      <c r="F415" t="s">
        <v>14</v>
      </c>
      <c r="G415">
        <v>1</v>
      </c>
      <c r="H415" s="1">
        <v>22.99</v>
      </c>
      <c r="I415" s="1">
        <v>22.99</v>
      </c>
      <c r="J415">
        <v>4</v>
      </c>
      <c r="K415" t="str">
        <f>TEXT(tbl_RawSales[[#This Row],[Order Date]],"mmm")</f>
        <v>Apr</v>
      </c>
      <c r="L415">
        <f>MONTH(tbl_RawSales[[#This Row],[Order Date]])</f>
        <v>4</v>
      </c>
      <c r="M415" t="str">
        <f>TEXT(tbl_RawSales[[#This Row],[Order Date]],"ddd")</f>
        <v>Tue</v>
      </c>
      <c r="N415">
        <f>WEEKDAY(tbl_RawSales[[#This Row],[Order Date]],2)</f>
        <v>2</v>
      </c>
    </row>
    <row r="416" spans="1:14" x14ac:dyDescent="0.25">
      <c r="A416" t="s">
        <v>466</v>
      </c>
      <c r="B416" s="20">
        <v>45877</v>
      </c>
      <c r="C416" t="s">
        <v>25</v>
      </c>
      <c r="D416" t="s">
        <v>12</v>
      </c>
      <c r="E416" t="s">
        <v>22</v>
      </c>
      <c r="F416" t="s">
        <v>23</v>
      </c>
      <c r="G416">
        <v>1</v>
      </c>
      <c r="H416" s="1">
        <v>8.99</v>
      </c>
      <c r="I416" s="1">
        <v>8.99</v>
      </c>
      <c r="J416">
        <v>5</v>
      </c>
      <c r="K416" t="str">
        <f>TEXT(tbl_RawSales[[#This Row],[Order Date]],"mmm")</f>
        <v>Aug</v>
      </c>
      <c r="L416">
        <f>MONTH(tbl_RawSales[[#This Row],[Order Date]])</f>
        <v>8</v>
      </c>
      <c r="M416" t="str">
        <f>TEXT(tbl_RawSales[[#This Row],[Order Date]],"ddd")</f>
        <v>Fri</v>
      </c>
      <c r="N416">
        <f>WEEKDAY(tbl_RawSales[[#This Row],[Order Date]],2)</f>
        <v>5</v>
      </c>
    </row>
    <row r="417" spans="1:14" x14ac:dyDescent="0.25">
      <c r="A417" t="s">
        <v>467</v>
      </c>
      <c r="B417" s="20">
        <v>45589</v>
      </c>
      <c r="C417" t="s">
        <v>11</v>
      </c>
      <c r="D417" t="s">
        <v>12</v>
      </c>
      <c r="E417" t="s">
        <v>74</v>
      </c>
      <c r="F417" t="s">
        <v>14</v>
      </c>
      <c r="G417">
        <v>4</v>
      </c>
      <c r="H417" s="1">
        <v>14.99</v>
      </c>
      <c r="I417" s="1">
        <v>59.96</v>
      </c>
      <c r="J417">
        <v>5</v>
      </c>
      <c r="K417" t="str">
        <f>TEXT(tbl_RawSales[[#This Row],[Order Date]],"mmm")</f>
        <v>Oct</v>
      </c>
      <c r="L417">
        <f>MONTH(tbl_RawSales[[#This Row],[Order Date]])</f>
        <v>10</v>
      </c>
      <c r="M417" t="str">
        <f>TEXT(tbl_RawSales[[#This Row],[Order Date]],"ddd")</f>
        <v>Thu</v>
      </c>
      <c r="N417">
        <f>WEEKDAY(tbl_RawSales[[#This Row],[Order Date]],2)</f>
        <v>4</v>
      </c>
    </row>
    <row r="418" spans="1:14" x14ac:dyDescent="0.25">
      <c r="A418" t="s">
        <v>468</v>
      </c>
      <c r="B418" s="20">
        <v>45499</v>
      </c>
      <c r="C418" t="s">
        <v>38</v>
      </c>
      <c r="D418" t="s">
        <v>29</v>
      </c>
      <c r="E418" t="s">
        <v>57</v>
      </c>
      <c r="F418" t="s">
        <v>14</v>
      </c>
      <c r="G418">
        <v>2</v>
      </c>
      <c r="H418" s="1">
        <v>15.99</v>
      </c>
      <c r="I418" s="1">
        <v>31.98</v>
      </c>
      <c r="J418">
        <v>5</v>
      </c>
      <c r="K418" t="str">
        <f>TEXT(tbl_RawSales[[#This Row],[Order Date]],"mmm")</f>
        <v>Jul</v>
      </c>
      <c r="L418">
        <f>MONTH(tbl_RawSales[[#This Row],[Order Date]])</f>
        <v>7</v>
      </c>
      <c r="M418" t="str">
        <f>TEXT(tbl_RawSales[[#This Row],[Order Date]],"ddd")</f>
        <v>Fri</v>
      </c>
      <c r="N418">
        <f>WEEKDAY(tbl_RawSales[[#This Row],[Order Date]],2)</f>
        <v>5</v>
      </c>
    </row>
    <row r="419" spans="1:14" x14ac:dyDescent="0.25">
      <c r="A419" t="s">
        <v>469</v>
      </c>
      <c r="B419" s="20">
        <v>45824</v>
      </c>
      <c r="C419" t="s">
        <v>11</v>
      </c>
      <c r="D419" t="s">
        <v>29</v>
      </c>
      <c r="E419" t="s">
        <v>66</v>
      </c>
      <c r="F419" t="s">
        <v>67</v>
      </c>
      <c r="G419">
        <v>1</v>
      </c>
      <c r="H419" s="1">
        <v>7.99</v>
      </c>
      <c r="I419" s="1">
        <v>7.99</v>
      </c>
      <c r="J419">
        <v>4</v>
      </c>
      <c r="K419" t="str">
        <f>TEXT(tbl_RawSales[[#This Row],[Order Date]],"mmm")</f>
        <v>Jun</v>
      </c>
      <c r="L419">
        <f>MONTH(tbl_RawSales[[#This Row],[Order Date]])</f>
        <v>6</v>
      </c>
      <c r="M419" t="str">
        <f>TEXT(tbl_RawSales[[#This Row],[Order Date]],"ddd")</f>
        <v>Mon</v>
      </c>
      <c r="N419">
        <f>WEEKDAY(tbl_RawSales[[#This Row],[Order Date]],2)</f>
        <v>1</v>
      </c>
    </row>
    <row r="420" spans="1:14" x14ac:dyDescent="0.25">
      <c r="A420" t="s">
        <v>470</v>
      </c>
      <c r="B420" s="20">
        <v>45532</v>
      </c>
      <c r="C420" t="s">
        <v>25</v>
      </c>
      <c r="D420" t="s">
        <v>12</v>
      </c>
      <c r="E420" t="s">
        <v>119</v>
      </c>
      <c r="F420" t="s">
        <v>19</v>
      </c>
      <c r="G420">
        <v>1</v>
      </c>
      <c r="H420" s="1">
        <v>4.99</v>
      </c>
      <c r="I420" s="1">
        <v>4.99</v>
      </c>
      <c r="J420">
        <v>1</v>
      </c>
      <c r="K420" t="str">
        <f>TEXT(tbl_RawSales[[#This Row],[Order Date]],"mmm")</f>
        <v>Aug</v>
      </c>
      <c r="L420">
        <f>MONTH(tbl_RawSales[[#This Row],[Order Date]])</f>
        <v>8</v>
      </c>
      <c r="M420" t="str">
        <f>TEXT(tbl_RawSales[[#This Row],[Order Date]],"ddd")</f>
        <v>Wed</v>
      </c>
      <c r="N420">
        <f>WEEKDAY(tbl_RawSales[[#This Row],[Order Date]],2)</f>
        <v>3</v>
      </c>
    </row>
    <row r="421" spans="1:14" x14ac:dyDescent="0.25">
      <c r="A421" t="s">
        <v>471</v>
      </c>
      <c r="B421" s="20">
        <v>45611</v>
      </c>
      <c r="C421" t="s">
        <v>45</v>
      </c>
      <c r="D421" t="s">
        <v>29</v>
      </c>
      <c r="E421" t="s">
        <v>46</v>
      </c>
      <c r="F421" t="s">
        <v>14</v>
      </c>
      <c r="G421">
        <v>1</v>
      </c>
      <c r="H421" s="1">
        <v>32.99</v>
      </c>
      <c r="I421" s="1">
        <v>32.99</v>
      </c>
      <c r="J421">
        <v>4</v>
      </c>
      <c r="K421" t="str">
        <f>TEXT(tbl_RawSales[[#This Row],[Order Date]],"mmm")</f>
        <v>Nov</v>
      </c>
      <c r="L421">
        <f>MONTH(tbl_RawSales[[#This Row],[Order Date]])</f>
        <v>11</v>
      </c>
      <c r="M421" t="str">
        <f>TEXT(tbl_RawSales[[#This Row],[Order Date]],"ddd")</f>
        <v>Fri</v>
      </c>
      <c r="N421">
        <f>WEEKDAY(tbl_RawSales[[#This Row],[Order Date]],2)</f>
        <v>5</v>
      </c>
    </row>
    <row r="422" spans="1:14" x14ac:dyDescent="0.25">
      <c r="A422" t="s">
        <v>472</v>
      </c>
      <c r="B422" s="20">
        <v>45612</v>
      </c>
      <c r="C422" t="s">
        <v>21</v>
      </c>
      <c r="D422" t="s">
        <v>17</v>
      </c>
      <c r="E422" t="s">
        <v>83</v>
      </c>
      <c r="F422" t="s">
        <v>14</v>
      </c>
      <c r="G422">
        <v>2</v>
      </c>
      <c r="H422" s="1">
        <v>17.989999999999998</v>
      </c>
      <c r="I422" s="1">
        <v>35.979999999999997</v>
      </c>
      <c r="J422">
        <v>5</v>
      </c>
      <c r="K422" t="str">
        <f>TEXT(tbl_RawSales[[#This Row],[Order Date]],"mmm")</f>
        <v>Nov</v>
      </c>
      <c r="L422">
        <f>MONTH(tbl_RawSales[[#This Row],[Order Date]])</f>
        <v>11</v>
      </c>
      <c r="M422" t="str">
        <f>TEXT(tbl_RawSales[[#This Row],[Order Date]],"ddd")</f>
        <v>Sat</v>
      </c>
      <c r="N422">
        <f>WEEKDAY(tbl_RawSales[[#This Row],[Order Date]],2)</f>
        <v>6</v>
      </c>
    </row>
    <row r="423" spans="1:14" x14ac:dyDescent="0.25">
      <c r="A423" t="s">
        <v>473</v>
      </c>
      <c r="B423" s="20">
        <v>45445</v>
      </c>
      <c r="C423" t="s">
        <v>97</v>
      </c>
      <c r="D423" t="s">
        <v>17</v>
      </c>
      <c r="E423" t="s">
        <v>112</v>
      </c>
      <c r="F423" t="s">
        <v>19</v>
      </c>
      <c r="G423">
        <v>2</v>
      </c>
      <c r="H423" s="1">
        <v>5.99</v>
      </c>
      <c r="I423" s="1">
        <v>11.98</v>
      </c>
      <c r="J423">
        <v>3</v>
      </c>
      <c r="K423" t="str">
        <f>TEXT(tbl_RawSales[[#This Row],[Order Date]],"mmm")</f>
        <v>Jun</v>
      </c>
      <c r="L423">
        <f>MONTH(tbl_RawSales[[#This Row],[Order Date]])</f>
        <v>6</v>
      </c>
      <c r="M423" t="str">
        <f>TEXT(tbl_RawSales[[#This Row],[Order Date]],"ddd")</f>
        <v>Sun</v>
      </c>
      <c r="N423">
        <f>WEEKDAY(tbl_RawSales[[#This Row],[Order Date]],2)</f>
        <v>7</v>
      </c>
    </row>
    <row r="424" spans="1:14" x14ac:dyDescent="0.25">
      <c r="A424" t="s">
        <v>474</v>
      </c>
      <c r="B424" s="20">
        <v>45418</v>
      </c>
      <c r="C424" t="s">
        <v>32</v>
      </c>
      <c r="D424" t="s">
        <v>29</v>
      </c>
      <c r="E424" t="s">
        <v>39</v>
      </c>
      <c r="F424" t="s">
        <v>14</v>
      </c>
      <c r="G424">
        <v>3</v>
      </c>
      <c r="H424" s="1">
        <v>24.99</v>
      </c>
      <c r="I424" s="1">
        <v>74.97</v>
      </c>
      <c r="J424">
        <v>5</v>
      </c>
      <c r="K424" t="str">
        <f>TEXT(tbl_RawSales[[#This Row],[Order Date]],"mmm")</f>
        <v>May</v>
      </c>
      <c r="L424">
        <f>MONTH(tbl_RawSales[[#This Row],[Order Date]])</f>
        <v>5</v>
      </c>
      <c r="M424" t="str">
        <f>TEXT(tbl_RawSales[[#This Row],[Order Date]],"ddd")</f>
        <v>Mon</v>
      </c>
      <c r="N424">
        <f>WEEKDAY(tbl_RawSales[[#This Row],[Order Date]],2)</f>
        <v>1</v>
      </c>
    </row>
    <row r="425" spans="1:14" x14ac:dyDescent="0.25">
      <c r="A425" t="s">
        <v>475</v>
      </c>
      <c r="B425" s="20">
        <v>45568</v>
      </c>
      <c r="C425" t="s">
        <v>97</v>
      </c>
      <c r="D425" t="s">
        <v>12</v>
      </c>
      <c r="E425" t="s">
        <v>13</v>
      </c>
      <c r="F425" t="s">
        <v>14</v>
      </c>
      <c r="G425">
        <v>1</v>
      </c>
      <c r="H425" s="1">
        <v>18.989999999999998</v>
      </c>
      <c r="I425" s="1">
        <v>18.989999999999998</v>
      </c>
      <c r="J425">
        <v>2</v>
      </c>
      <c r="K425" t="str">
        <f>TEXT(tbl_RawSales[[#This Row],[Order Date]],"mmm")</f>
        <v>Oct</v>
      </c>
      <c r="L425">
        <f>MONTH(tbl_RawSales[[#This Row],[Order Date]])</f>
        <v>10</v>
      </c>
      <c r="M425" t="str">
        <f>TEXT(tbl_RawSales[[#This Row],[Order Date]],"ddd")</f>
        <v>Thu</v>
      </c>
      <c r="N425">
        <f>WEEKDAY(tbl_RawSales[[#This Row],[Order Date]],2)</f>
        <v>4</v>
      </c>
    </row>
    <row r="426" spans="1:14" x14ac:dyDescent="0.25">
      <c r="A426" t="s">
        <v>476</v>
      </c>
      <c r="B426" s="20">
        <v>45884</v>
      </c>
      <c r="C426" t="s">
        <v>11</v>
      </c>
      <c r="D426" t="s">
        <v>29</v>
      </c>
      <c r="E426" t="s">
        <v>30</v>
      </c>
      <c r="F426" t="s">
        <v>19</v>
      </c>
      <c r="G426">
        <v>1</v>
      </c>
      <c r="H426" s="1">
        <v>7.99</v>
      </c>
      <c r="I426" s="1">
        <v>7.99</v>
      </c>
      <c r="J426">
        <v>1</v>
      </c>
      <c r="K426" t="str">
        <f>TEXT(tbl_RawSales[[#This Row],[Order Date]],"mmm")</f>
        <v>Aug</v>
      </c>
      <c r="L426">
        <f>MONTH(tbl_RawSales[[#This Row],[Order Date]])</f>
        <v>8</v>
      </c>
      <c r="M426" t="str">
        <f>TEXT(tbl_RawSales[[#This Row],[Order Date]],"ddd")</f>
        <v>Fri</v>
      </c>
      <c r="N426">
        <f>WEEKDAY(tbl_RawSales[[#This Row],[Order Date]],2)</f>
        <v>5</v>
      </c>
    </row>
    <row r="427" spans="1:14" x14ac:dyDescent="0.25">
      <c r="A427" t="s">
        <v>477</v>
      </c>
      <c r="B427" s="20">
        <v>45823</v>
      </c>
      <c r="C427" t="s">
        <v>97</v>
      </c>
      <c r="D427" t="s">
        <v>12</v>
      </c>
      <c r="E427" t="s">
        <v>176</v>
      </c>
      <c r="F427" t="s">
        <v>67</v>
      </c>
      <c r="G427">
        <v>3</v>
      </c>
      <c r="H427" s="1">
        <v>11.99</v>
      </c>
      <c r="I427" s="1">
        <v>35.97</v>
      </c>
      <c r="J427">
        <v>4</v>
      </c>
      <c r="K427" t="str">
        <f>TEXT(tbl_RawSales[[#This Row],[Order Date]],"mmm")</f>
        <v>Jun</v>
      </c>
      <c r="L427">
        <f>MONTH(tbl_RawSales[[#This Row],[Order Date]])</f>
        <v>6</v>
      </c>
      <c r="M427" t="str">
        <f>TEXT(tbl_RawSales[[#This Row],[Order Date]],"ddd")</f>
        <v>Sun</v>
      </c>
      <c r="N427">
        <f>WEEKDAY(tbl_RawSales[[#This Row],[Order Date]],2)</f>
        <v>7</v>
      </c>
    </row>
    <row r="428" spans="1:14" x14ac:dyDescent="0.25">
      <c r="A428" t="s">
        <v>478</v>
      </c>
      <c r="B428" s="20">
        <v>45886</v>
      </c>
      <c r="C428" t="s">
        <v>97</v>
      </c>
      <c r="D428" t="s">
        <v>17</v>
      </c>
      <c r="E428" t="s">
        <v>13</v>
      </c>
      <c r="F428" t="s">
        <v>14</v>
      </c>
      <c r="G428">
        <v>2</v>
      </c>
      <c r="H428" s="1">
        <v>18.989999999999998</v>
      </c>
      <c r="I428" s="1">
        <v>37.979999999999997</v>
      </c>
      <c r="J428">
        <v>4</v>
      </c>
      <c r="K428" t="str">
        <f>TEXT(tbl_RawSales[[#This Row],[Order Date]],"mmm")</f>
        <v>Aug</v>
      </c>
      <c r="L428">
        <f>MONTH(tbl_RawSales[[#This Row],[Order Date]])</f>
        <v>8</v>
      </c>
      <c r="M428" t="str">
        <f>TEXT(tbl_RawSales[[#This Row],[Order Date]],"ddd")</f>
        <v>Sun</v>
      </c>
      <c r="N428">
        <f>WEEKDAY(tbl_RawSales[[#This Row],[Order Date]],2)</f>
        <v>7</v>
      </c>
    </row>
    <row r="429" spans="1:14" x14ac:dyDescent="0.25">
      <c r="A429" t="s">
        <v>479</v>
      </c>
      <c r="B429" s="20">
        <v>45363</v>
      </c>
      <c r="C429" t="s">
        <v>25</v>
      </c>
      <c r="D429" t="s">
        <v>29</v>
      </c>
      <c r="E429" t="s">
        <v>74</v>
      </c>
      <c r="F429" t="s">
        <v>14</v>
      </c>
      <c r="G429">
        <v>1</v>
      </c>
      <c r="H429" s="1">
        <v>14.99</v>
      </c>
      <c r="I429" s="1">
        <v>14.99</v>
      </c>
      <c r="J429">
        <v>5</v>
      </c>
      <c r="K429" t="str">
        <f>TEXT(tbl_RawSales[[#This Row],[Order Date]],"mmm")</f>
        <v>Mar</v>
      </c>
      <c r="L429">
        <f>MONTH(tbl_RawSales[[#This Row],[Order Date]])</f>
        <v>3</v>
      </c>
      <c r="M429" t="str">
        <f>TEXT(tbl_RawSales[[#This Row],[Order Date]],"ddd")</f>
        <v>Tue</v>
      </c>
      <c r="N429">
        <f>WEEKDAY(tbl_RawSales[[#This Row],[Order Date]],2)</f>
        <v>2</v>
      </c>
    </row>
    <row r="430" spans="1:14" x14ac:dyDescent="0.25">
      <c r="A430" t="s">
        <v>480</v>
      </c>
      <c r="B430" s="20">
        <v>45906</v>
      </c>
      <c r="C430" t="s">
        <v>28</v>
      </c>
      <c r="D430" t="s">
        <v>17</v>
      </c>
      <c r="E430" t="s">
        <v>26</v>
      </c>
      <c r="F430" t="s">
        <v>19</v>
      </c>
      <c r="G430">
        <v>2</v>
      </c>
      <c r="H430" s="1">
        <v>3.49</v>
      </c>
      <c r="I430" s="1">
        <v>6.98</v>
      </c>
      <c r="J430">
        <v>4</v>
      </c>
      <c r="K430" t="str">
        <f>TEXT(tbl_RawSales[[#This Row],[Order Date]],"mmm")</f>
        <v>Sept</v>
      </c>
      <c r="L430">
        <f>MONTH(tbl_RawSales[[#This Row],[Order Date]])</f>
        <v>9</v>
      </c>
      <c r="M430" t="str">
        <f>TEXT(tbl_RawSales[[#This Row],[Order Date]],"ddd")</f>
        <v>Sat</v>
      </c>
      <c r="N430">
        <f>WEEKDAY(tbl_RawSales[[#This Row],[Order Date]],2)</f>
        <v>6</v>
      </c>
    </row>
    <row r="431" spans="1:14" x14ac:dyDescent="0.25">
      <c r="A431" t="s">
        <v>481</v>
      </c>
      <c r="B431" s="20">
        <v>45836</v>
      </c>
      <c r="C431" t="s">
        <v>28</v>
      </c>
      <c r="D431" t="s">
        <v>12</v>
      </c>
      <c r="E431" t="s">
        <v>83</v>
      </c>
      <c r="F431" t="s">
        <v>14</v>
      </c>
      <c r="G431">
        <v>3</v>
      </c>
      <c r="H431" s="1">
        <v>17.989999999999998</v>
      </c>
      <c r="I431" s="1">
        <v>53.97</v>
      </c>
      <c r="J431">
        <v>5</v>
      </c>
      <c r="K431" t="str">
        <f>TEXT(tbl_RawSales[[#This Row],[Order Date]],"mmm")</f>
        <v>Jun</v>
      </c>
      <c r="L431">
        <f>MONTH(tbl_RawSales[[#This Row],[Order Date]])</f>
        <v>6</v>
      </c>
      <c r="M431" t="str">
        <f>TEXT(tbl_RawSales[[#This Row],[Order Date]],"ddd")</f>
        <v>Sat</v>
      </c>
      <c r="N431">
        <f>WEEKDAY(tbl_RawSales[[#This Row],[Order Date]],2)</f>
        <v>6</v>
      </c>
    </row>
    <row r="432" spans="1:14" x14ac:dyDescent="0.25">
      <c r="A432" t="s">
        <v>482</v>
      </c>
      <c r="B432" s="20">
        <v>45591</v>
      </c>
      <c r="C432" t="s">
        <v>11</v>
      </c>
      <c r="D432" t="s">
        <v>29</v>
      </c>
      <c r="E432" t="s">
        <v>52</v>
      </c>
      <c r="F432" t="s">
        <v>19</v>
      </c>
      <c r="G432">
        <v>1</v>
      </c>
      <c r="H432" s="1">
        <v>6.99</v>
      </c>
      <c r="I432" s="1">
        <v>6.99</v>
      </c>
      <c r="J432">
        <v>3</v>
      </c>
      <c r="K432" t="str">
        <f>TEXT(tbl_RawSales[[#This Row],[Order Date]],"mmm")</f>
        <v>Oct</v>
      </c>
      <c r="L432">
        <f>MONTH(tbl_RawSales[[#This Row],[Order Date]])</f>
        <v>10</v>
      </c>
      <c r="M432" t="str">
        <f>TEXT(tbl_RawSales[[#This Row],[Order Date]],"ddd")</f>
        <v>Sat</v>
      </c>
      <c r="N432">
        <f>WEEKDAY(tbl_RawSales[[#This Row],[Order Date]],2)</f>
        <v>6</v>
      </c>
    </row>
    <row r="433" spans="1:14" x14ac:dyDescent="0.25">
      <c r="A433" t="s">
        <v>483</v>
      </c>
      <c r="B433" s="20">
        <v>45969</v>
      </c>
      <c r="C433" t="s">
        <v>45</v>
      </c>
      <c r="D433" t="s">
        <v>29</v>
      </c>
      <c r="E433" t="s">
        <v>74</v>
      </c>
      <c r="F433" t="s">
        <v>14</v>
      </c>
      <c r="G433">
        <v>1</v>
      </c>
      <c r="H433" s="1">
        <v>14.99</v>
      </c>
      <c r="I433" s="1">
        <v>14.99</v>
      </c>
      <c r="J433">
        <v>4</v>
      </c>
      <c r="K433" t="str">
        <f>TEXT(tbl_RawSales[[#This Row],[Order Date]],"mmm")</f>
        <v>Nov</v>
      </c>
      <c r="L433">
        <f>MONTH(tbl_RawSales[[#This Row],[Order Date]])</f>
        <v>11</v>
      </c>
      <c r="M433" t="str">
        <f>TEXT(tbl_RawSales[[#This Row],[Order Date]],"ddd")</f>
        <v>Sat</v>
      </c>
      <c r="N433">
        <f>WEEKDAY(tbl_RawSales[[#This Row],[Order Date]],2)</f>
        <v>6</v>
      </c>
    </row>
    <row r="434" spans="1:14" x14ac:dyDescent="0.25">
      <c r="A434" t="s">
        <v>484</v>
      </c>
      <c r="B434" s="20">
        <v>45789</v>
      </c>
      <c r="C434" t="s">
        <v>21</v>
      </c>
      <c r="D434" t="s">
        <v>17</v>
      </c>
      <c r="E434" t="s">
        <v>18</v>
      </c>
      <c r="F434" t="s">
        <v>19</v>
      </c>
      <c r="G434">
        <v>1</v>
      </c>
      <c r="H434" s="1">
        <v>9.99</v>
      </c>
      <c r="I434" s="1">
        <v>9.99</v>
      </c>
      <c r="J434">
        <v>5</v>
      </c>
      <c r="K434" t="str">
        <f>TEXT(tbl_RawSales[[#This Row],[Order Date]],"mmm")</f>
        <v>May</v>
      </c>
      <c r="L434">
        <f>MONTH(tbl_RawSales[[#This Row],[Order Date]])</f>
        <v>5</v>
      </c>
      <c r="M434" t="str">
        <f>TEXT(tbl_RawSales[[#This Row],[Order Date]],"ddd")</f>
        <v>Mon</v>
      </c>
      <c r="N434">
        <f>WEEKDAY(tbl_RawSales[[#This Row],[Order Date]],2)</f>
        <v>1</v>
      </c>
    </row>
    <row r="435" spans="1:14" x14ac:dyDescent="0.25">
      <c r="A435" t="s">
        <v>485</v>
      </c>
      <c r="B435" s="20">
        <v>45319</v>
      </c>
      <c r="C435" t="s">
        <v>34</v>
      </c>
      <c r="D435" t="s">
        <v>17</v>
      </c>
      <c r="E435" t="s">
        <v>79</v>
      </c>
      <c r="F435" t="s">
        <v>67</v>
      </c>
      <c r="G435">
        <v>1</v>
      </c>
      <c r="H435" s="1">
        <v>10.99</v>
      </c>
      <c r="I435" s="1">
        <v>10.99</v>
      </c>
      <c r="J435">
        <v>3</v>
      </c>
      <c r="K435" t="str">
        <f>TEXT(tbl_RawSales[[#This Row],[Order Date]],"mmm")</f>
        <v>Jan</v>
      </c>
      <c r="L435">
        <f>MONTH(tbl_RawSales[[#This Row],[Order Date]])</f>
        <v>1</v>
      </c>
      <c r="M435" t="str">
        <f>TEXT(tbl_RawSales[[#This Row],[Order Date]],"ddd")</f>
        <v>Sun</v>
      </c>
      <c r="N435">
        <f>WEEKDAY(tbl_RawSales[[#This Row],[Order Date]],2)</f>
        <v>7</v>
      </c>
    </row>
    <row r="436" spans="1:14" x14ac:dyDescent="0.25">
      <c r="A436" t="s">
        <v>486</v>
      </c>
      <c r="B436" s="20">
        <v>45801</v>
      </c>
      <c r="C436" t="s">
        <v>97</v>
      </c>
      <c r="D436" t="s">
        <v>29</v>
      </c>
      <c r="E436" t="s">
        <v>50</v>
      </c>
      <c r="F436" t="s">
        <v>14</v>
      </c>
      <c r="G436">
        <v>1</v>
      </c>
      <c r="H436" s="1">
        <v>22.99</v>
      </c>
      <c r="I436" s="1">
        <v>22.99</v>
      </c>
      <c r="J436">
        <v>4</v>
      </c>
      <c r="K436" t="str">
        <f>TEXT(tbl_RawSales[[#This Row],[Order Date]],"mmm")</f>
        <v>May</v>
      </c>
      <c r="L436">
        <f>MONTH(tbl_RawSales[[#This Row],[Order Date]])</f>
        <v>5</v>
      </c>
      <c r="M436" t="str">
        <f>TEXT(tbl_RawSales[[#This Row],[Order Date]],"ddd")</f>
        <v>Sat</v>
      </c>
      <c r="N436">
        <f>WEEKDAY(tbl_RawSales[[#This Row],[Order Date]],2)</f>
        <v>6</v>
      </c>
    </row>
    <row r="437" spans="1:14" x14ac:dyDescent="0.25">
      <c r="A437" t="s">
        <v>487</v>
      </c>
      <c r="B437" s="20">
        <v>45585</v>
      </c>
      <c r="C437" t="s">
        <v>28</v>
      </c>
      <c r="D437" t="s">
        <v>29</v>
      </c>
      <c r="E437" t="s">
        <v>46</v>
      </c>
      <c r="F437" t="s">
        <v>14</v>
      </c>
      <c r="G437">
        <v>1</v>
      </c>
      <c r="H437" s="1">
        <v>32.99</v>
      </c>
      <c r="I437" s="1">
        <v>32.99</v>
      </c>
      <c r="J437">
        <v>4</v>
      </c>
      <c r="K437" t="str">
        <f>TEXT(tbl_RawSales[[#This Row],[Order Date]],"mmm")</f>
        <v>Oct</v>
      </c>
      <c r="L437">
        <f>MONTH(tbl_RawSales[[#This Row],[Order Date]])</f>
        <v>10</v>
      </c>
      <c r="M437" t="str">
        <f>TEXT(tbl_RawSales[[#This Row],[Order Date]],"ddd")</f>
        <v>Sun</v>
      </c>
      <c r="N437">
        <f>WEEKDAY(tbl_RawSales[[#This Row],[Order Date]],2)</f>
        <v>7</v>
      </c>
    </row>
    <row r="438" spans="1:14" x14ac:dyDescent="0.25">
      <c r="A438" t="s">
        <v>488</v>
      </c>
      <c r="B438" s="20">
        <v>45666</v>
      </c>
      <c r="C438" t="s">
        <v>11</v>
      </c>
      <c r="D438" t="s">
        <v>29</v>
      </c>
      <c r="E438" t="s">
        <v>46</v>
      </c>
      <c r="F438" t="s">
        <v>14</v>
      </c>
      <c r="G438">
        <v>4</v>
      </c>
      <c r="H438" s="1">
        <v>32.99</v>
      </c>
      <c r="I438" s="1">
        <v>131.96</v>
      </c>
      <c r="J438">
        <v>3</v>
      </c>
      <c r="K438" t="str">
        <f>TEXT(tbl_RawSales[[#This Row],[Order Date]],"mmm")</f>
        <v>Jan</v>
      </c>
      <c r="L438">
        <f>MONTH(tbl_RawSales[[#This Row],[Order Date]])</f>
        <v>1</v>
      </c>
      <c r="M438" t="str">
        <f>TEXT(tbl_RawSales[[#This Row],[Order Date]],"ddd")</f>
        <v>Thu</v>
      </c>
      <c r="N438">
        <f>WEEKDAY(tbl_RawSales[[#This Row],[Order Date]],2)</f>
        <v>4</v>
      </c>
    </row>
    <row r="439" spans="1:14" x14ac:dyDescent="0.25">
      <c r="A439" t="s">
        <v>489</v>
      </c>
      <c r="B439" s="20">
        <v>45934</v>
      </c>
      <c r="C439" t="s">
        <v>97</v>
      </c>
      <c r="D439" t="s">
        <v>29</v>
      </c>
      <c r="E439" t="s">
        <v>13</v>
      </c>
      <c r="F439" t="s">
        <v>14</v>
      </c>
      <c r="G439">
        <v>1</v>
      </c>
      <c r="H439" s="1">
        <v>18.989999999999998</v>
      </c>
      <c r="I439" s="1">
        <v>18.989999999999998</v>
      </c>
      <c r="J439">
        <v>3</v>
      </c>
      <c r="K439" t="str">
        <f>TEXT(tbl_RawSales[[#This Row],[Order Date]],"mmm")</f>
        <v>Oct</v>
      </c>
      <c r="L439">
        <f>MONTH(tbl_RawSales[[#This Row],[Order Date]])</f>
        <v>10</v>
      </c>
      <c r="M439" t="str">
        <f>TEXT(tbl_RawSales[[#This Row],[Order Date]],"ddd")</f>
        <v>Sat</v>
      </c>
      <c r="N439">
        <f>WEEKDAY(tbl_RawSales[[#This Row],[Order Date]],2)</f>
        <v>6</v>
      </c>
    </row>
    <row r="440" spans="1:14" x14ac:dyDescent="0.25">
      <c r="A440" t="s">
        <v>490</v>
      </c>
      <c r="B440" s="20">
        <v>45903</v>
      </c>
      <c r="C440" t="s">
        <v>34</v>
      </c>
      <c r="D440" t="s">
        <v>29</v>
      </c>
      <c r="E440" t="s">
        <v>36</v>
      </c>
      <c r="F440" t="s">
        <v>14</v>
      </c>
      <c r="G440">
        <v>2</v>
      </c>
      <c r="H440" s="1">
        <v>16.989999999999998</v>
      </c>
      <c r="I440" s="1">
        <v>33.979999999999997</v>
      </c>
      <c r="J440">
        <v>5</v>
      </c>
      <c r="K440" t="str">
        <f>TEXT(tbl_RawSales[[#This Row],[Order Date]],"mmm")</f>
        <v>Sept</v>
      </c>
      <c r="L440">
        <f>MONTH(tbl_RawSales[[#This Row],[Order Date]])</f>
        <v>9</v>
      </c>
      <c r="M440" t="str">
        <f>TEXT(tbl_RawSales[[#This Row],[Order Date]],"ddd")</f>
        <v>Wed</v>
      </c>
      <c r="N440">
        <f>WEEKDAY(tbl_RawSales[[#This Row],[Order Date]],2)</f>
        <v>3</v>
      </c>
    </row>
    <row r="441" spans="1:14" x14ac:dyDescent="0.25">
      <c r="A441" t="s">
        <v>491</v>
      </c>
      <c r="B441" s="20">
        <v>45533</v>
      </c>
      <c r="C441" t="s">
        <v>38</v>
      </c>
      <c r="D441" t="s">
        <v>12</v>
      </c>
      <c r="E441" t="s">
        <v>221</v>
      </c>
      <c r="F441" t="s">
        <v>67</v>
      </c>
      <c r="G441">
        <v>1</v>
      </c>
      <c r="H441" s="1">
        <v>9.99</v>
      </c>
      <c r="I441" s="1">
        <v>9.99</v>
      </c>
      <c r="J441">
        <v>4</v>
      </c>
      <c r="K441" t="str">
        <f>TEXT(tbl_RawSales[[#This Row],[Order Date]],"mmm")</f>
        <v>Aug</v>
      </c>
      <c r="L441">
        <f>MONTH(tbl_RawSales[[#This Row],[Order Date]])</f>
        <v>8</v>
      </c>
      <c r="M441" t="str">
        <f>TEXT(tbl_RawSales[[#This Row],[Order Date]],"ddd")</f>
        <v>Thu</v>
      </c>
      <c r="N441">
        <f>WEEKDAY(tbl_RawSales[[#This Row],[Order Date]],2)</f>
        <v>4</v>
      </c>
    </row>
    <row r="442" spans="1:14" x14ac:dyDescent="0.25">
      <c r="A442" t="s">
        <v>492</v>
      </c>
      <c r="B442" s="20">
        <v>45590</v>
      </c>
      <c r="C442" t="s">
        <v>21</v>
      </c>
      <c r="D442" t="s">
        <v>29</v>
      </c>
      <c r="E442" t="s">
        <v>119</v>
      </c>
      <c r="F442" t="s">
        <v>19</v>
      </c>
      <c r="G442">
        <v>1</v>
      </c>
      <c r="H442" s="1">
        <v>4.99</v>
      </c>
      <c r="I442" s="1">
        <v>4.99</v>
      </c>
      <c r="J442">
        <v>2</v>
      </c>
      <c r="K442" t="str">
        <f>TEXT(tbl_RawSales[[#This Row],[Order Date]],"mmm")</f>
        <v>Oct</v>
      </c>
      <c r="L442">
        <f>MONTH(tbl_RawSales[[#This Row],[Order Date]])</f>
        <v>10</v>
      </c>
      <c r="M442" t="str">
        <f>TEXT(tbl_RawSales[[#This Row],[Order Date]],"ddd")</f>
        <v>Fri</v>
      </c>
      <c r="N442">
        <f>WEEKDAY(tbl_RawSales[[#This Row],[Order Date]],2)</f>
        <v>5</v>
      </c>
    </row>
    <row r="443" spans="1:14" x14ac:dyDescent="0.25">
      <c r="A443" t="s">
        <v>493</v>
      </c>
      <c r="B443" s="20">
        <v>45974</v>
      </c>
      <c r="C443" t="s">
        <v>38</v>
      </c>
      <c r="D443" t="s">
        <v>12</v>
      </c>
      <c r="E443" t="s">
        <v>46</v>
      </c>
      <c r="F443" t="s">
        <v>14</v>
      </c>
      <c r="G443">
        <v>2</v>
      </c>
      <c r="H443" s="1">
        <v>32.99</v>
      </c>
      <c r="I443" s="1">
        <v>65.98</v>
      </c>
      <c r="J443">
        <v>3</v>
      </c>
      <c r="K443" t="str">
        <f>TEXT(tbl_RawSales[[#This Row],[Order Date]],"mmm")</f>
        <v>Nov</v>
      </c>
      <c r="L443">
        <f>MONTH(tbl_RawSales[[#This Row],[Order Date]])</f>
        <v>11</v>
      </c>
      <c r="M443" t="str">
        <f>TEXT(tbl_RawSales[[#This Row],[Order Date]],"ddd")</f>
        <v>Thu</v>
      </c>
      <c r="N443">
        <f>WEEKDAY(tbl_RawSales[[#This Row],[Order Date]],2)</f>
        <v>4</v>
      </c>
    </row>
    <row r="444" spans="1:14" x14ac:dyDescent="0.25">
      <c r="A444" t="s">
        <v>494</v>
      </c>
      <c r="B444" s="20">
        <v>45394</v>
      </c>
      <c r="C444" t="s">
        <v>16</v>
      </c>
      <c r="D444" t="s">
        <v>29</v>
      </c>
      <c r="E444" t="s">
        <v>39</v>
      </c>
      <c r="F444" t="s">
        <v>14</v>
      </c>
      <c r="G444">
        <v>1</v>
      </c>
      <c r="H444" s="1">
        <v>24.99</v>
      </c>
      <c r="I444" s="1">
        <v>24.99</v>
      </c>
      <c r="J444">
        <v>5</v>
      </c>
      <c r="K444" t="str">
        <f>TEXT(tbl_RawSales[[#This Row],[Order Date]],"mmm")</f>
        <v>Apr</v>
      </c>
      <c r="L444">
        <f>MONTH(tbl_RawSales[[#This Row],[Order Date]])</f>
        <v>4</v>
      </c>
      <c r="M444" t="str">
        <f>TEXT(tbl_RawSales[[#This Row],[Order Date]],"ddd")</f>
        <v>Fri</v>
      </c>
      <c r="N444">
        <f>WEEKDAY(tbl_RawSales[[#This Row],[Order Date]],2)</f>
        <v>5</v>
      </c>
    </row>
    <row r="445" spans="1:14" x14ac:dyDescent="0.25">
      <c r="A445" t="s">
        <v>495</v>
      </c>
      <c r="B445" s="20">
        <v>45331</v>
      </c>
      <c r="C445" t="s">
        <v>97</v>
      </c>
      <c r="D445" t="s">
        <v>29</v>
      </c>
      <c r="E445" t="s">
        <v>69</v>
      </c>
      <c r="F445" t="s">
        <v>67</v>
      </c>
      <c r="G445">
        <v>2</v>
      </c>
      <c r="H445" s="1">
        <v>8.99</v>
      </c>
      <c r="I445" s="1">
        <v>17.98</v>
      </c>
      <c r="J445">
        <v>5</v>
      </c>
      <c r="K445" t="str">
        <f>TEXT(tbl_RawSales[[#This Row],[Order Date]],"mmm")</f>
        <v>Feb</v>
      </c>
      <c r="L445">
        <f>MONTH(tbl_RawSales[[#This Row],[Order Date]])</f>
        <v>2</v>
      </c>
      <c r="M445" t="str">
        <f>TEXT(tbl_RawSales[[#This Row],[Order Date]],"ddd")</f>
        <v>Fri</v>
      </c>
      <c r="N445">
        <f>WEEKDAY(tbl_RawSales[[#This Row],[Order Date]],2)</f>
        <v>5</v>
      </c>
    </row>
    <row r="446" spans="1:14" x14ac:dyDescent="0.25">
      <c r="A446" t="s">
        <v>496</v>
      </c>
      <c r="B446" s="20">
        <v>45387</v>
      </c>
      <c r="C446" t="s">
        <v>38</v>
      </c>
      <c r="D446" t="s">
        <v>29</v>
      </c>
      <c r="E446" t="s">
        <v>50</v>
      </c>
      <c r="F446" t="s">
        <v>14</v>
      </c>
      <c r="G446">
        <v>1</v>
      </c>
      <c r="H446" s="1">
        <v>22.99</v>
      </c>
      <c r="I446" s="1">
        <v>22.99</v>
      </c>
      <c r="J446">
        <v>3</v>
      </c>
      <c r="K446" t="str">
        <f>TEXT(tbl_RawSales[[#This Row],[Order Date]],"mmm")</f>
        <v>Apr</v>
      </c>
      <c r="L446">
        <f>MONTH(tbl_RawSales[[#This Row],[Order Date]])</f>
        <v>4</v>
      </c>
      <c r="M446" t="str">
        <f>TEXT(tbl_RawSales[[#This Row],[Order Date]],"ddd")</f>
        <v>Fri</v>
      </c>
      <c r="N446">
        <f>WEEKDAY(tbl_RawSales[[#This Row],[Order Date]],2)</f>
        <v>5</v>
      </c>
    </row>
    <row r="447" spans="1:14" x14ac:dyDescent="0.25">
      <c r="A447" t="s">
        <v>497</v>
      </c>
      <c r="B447" s="20">
        <v>45359</v>
      </c>
      <c r="C447" t="s">
        <v>38</v>
      </c>
      <c r="D447" t="s">
        <v>17</v>
      </c>
      <c r="E447" t="s">
        <v>13</v>
      </c>
      <c r="F447" t="s">
        <v>14</v>
      </c>
      <c r="G447">
        <v>3</v>
      </c>
      <c r="H447" s="1">
        <v>18.989999999999998</v>
      </c>
      <c r="I447" s="1">
        <v>56.97</v>
      </c>
      <c r="J447">
        <v>5</v>
      </c>
      <c r="K447" t="str">
        <f>TEXT(tbl_RawSales[[#This Row],[Order Date]],"mmm")</f>
        <v>Mar</v>
      </c>
      <c r="L447">
        <f>MONTH(tbl_RawSales[[#This Row],[Order Date]])</f>
        <v>3</v>
      </c>
      <c r="M447" t="str">
        <f>TEXT(tbl_RawSales[[#This Row],[Order Date]],"ddd")</f>
        <v>Fri</v>
      </c>
      <c r="N447">
        <f>WEEKDAY(tbl_RawSales[[#This Row],[Order Date]],2)</f>
        <v>5</v>
      </c>
    </row>
    <row r="448" spans="1:14" x14ac:dyDescent="0.25">
      <c r="A448" t="s">
        <v>498</v>
      </c>
      <c r="B448" s="20">
        <v>45398</v>
      </c>
      <c r="C448" t="s">
        <v>32</v>
      </c>
      <c r="D448" t="s">
        <v>29</v>
      </c>
      <c r="E448" t="s">
        <v>36</v>
      </c>
      <c r="F448" t="s">
        <v>14</v>
      </c>
      <c r="G448">
        <v>2</v>
      </c>
      <c r="H448" s="1">
        <v>16.989999999999998</v>
      </c>
      <c r="I448" s="1">
        <v>33.979999999999997</v>
      </c>
      <c r="J448">
        <v>5</v>
      </c>
      <c r="K448" t="str">
        <f>TEXT(tbl_RawSales[[#This Row],[Order Date]],"mmm")</f>
        <v>Apr</v>
      </c>
      <c r="L448">
        <f>MONTH(tbl_RawSales[[#This Row],[Order Date]])</f>
        <v>4</v>
      </c>
      <c r="M448" t="str">
        <f>TEXT(tbl_RawSales[[#This Row],[Order Date]],"ddd")</f>
        <v>Tue</v>
      </c>
      <c r="N448">
        <f>WEEKDAY(tbl_RawSales[[#This Row],[Order Date]],2)</f>
        <v>2</v>
      </c>
    </row>
    <row r="449" spans="1:14" x14ac:dyDescent="0.25">
      <c r="A449" t="s">
        <v>499</v>
      </c>
      <c r="B449" s="20">
        <v>45682</v>
      </c>
      <c r="C449" t="s">
        <v>11</v>
      </c>
      <c r="D449" t="s">
        <v>29</v>
      </c>
      <c r="E449" t="s">
        <v>74</v>
      </c>
      <c r="F449" t="s">
        <v>14</v>
      </c>
      <c r="G449">
        <v>1</v>
      </c>
      <c r="H449" s="1">
        <v>14.99</v>
      </c>
      <c r="I449" s="1">
        <v>14.99</v>
      </c>
      <c r="J449">
        <v>2</v>
      </c>
      <c r="K449" t="str">
        <f>TEXT(tbl_RawSales[[#This Row],[Order Date]],"mmm")</f>
        <v>Jan</v>
      </c>
      <c r="L449">
        <f>MONTH(tbl_RawSales[[#This Row],[Order Date]])</f>
        <v>1</v>
      </c>
      <c r="M449" t="str">
        <f>TEXT(tbl_RawSales[[#This Row],[Order Date]],"ddd")</f>
        <v>Sat</v>
      </c>
      <c r="N449">
        <f>WEEKDAY(tbl_RawSales[[#This Row],[Order Date]],2)</f>
        <v>6</v>
      </c>
    </row>
    <row r="450" spans="1:14" x14ac:dyDescent="0.25">
      <c r="A450" t="s">
        <v>500</v>
      </c>
      <c r="B450" s="20">
        <v>45789</v>
      </c>
      <c r="C450" t="s">
        <v>11</v>
      </c>
      <c r="D450" t="s">
        <v>29</v>
      </c>
      <c r="E450" t="s">
        <v>46</v>
      </c>
      <c r="F450" t="s">
        <v>14</v>
      </c>
      <c r="G450">
        <v>2</v>
      </c>
      <c r="H450" s="1">
        <v>32.99</v>
      </c>
      <c r="I450" s="1">
        <v>65.98</v>
      </c>
      <c r="J450">
        <v>5</v>
      </c>
      <c r="K450" t="str">
        <f>TEXT(tbl_RawSales[[#This Row],[Order Date]],"mmm")</f>
        <v>May</v>
      </c>
      <c r="L450">
        <f>MONTH(tbl_RawSales[[#This Row],[Order Date]])</f>
        <v>5</v>
      </c>
      <c r="M450" t="str">
        <f>TEXT(tbl_RawSales[[#This Row],[Order Date]],"ddd")</f>
        <v>Mon</v>
      </c>
      <c r="N450">
        <f>WEEKDAY(tbl_RawSales[[#This Row],[Order Date]],2)</f>
        <v>1</v>
      </c>
    </row>
    <row r="451" spans="1:14" x14ac:dyDescent="0.25">
      <c r="A451" t="s">
        <v>501</v>
      </c>
      <c r="B451" s="20">
        <v>45891</v>
      </c>
      <c r="C451" t="s">
        <v>97</v>
      </c>
      <c r="D451" t="s">
        <v>29</v>
      </c>
      <c r="E451" t="s">
        <v>50</v>
      </c>
      <c r="F451" t="s">
        <v>14</v>
      </c>
      <c r="G451">
        <v>4</v>
      </c>
      <c r="H451" s="1">
        <v>22.99</v>
      </c>
      <c r="I451" s="1">
        <v>91.96</v>
      </c>
      <c r="J451">
        <v>4</v>
      </c>
      <c r="K451" t="str">
        <f>TEXT(tbl_RawSales[[#This Row],[Order Date]],"mmm")</f>
        <v>Aug</v>
      </c>
      <c r="L451">
        <f>MONTH(tbl_RawSales[[#This Row],[Order Date]])</f>
        <v>8</v>
      </c>
      <c r="M451" t="str">
        <f>TEXT(tbl_RawSales[[#This Row],[Order Date]],"ddd")</f>
        <v>Fri</v>
      </c>
      <c r="N451">
        <f>WEEKDAY(tbl_RawSales[[#This Row],[Order Date]],2)</f>
        <v>5</v>
      </c>
    </row>
    <row r="452" spans="1:14" x14ac:dyDescent="0.25">
      <c r="A452" t="s">
        <v>502</v>
      </c>
      <c r="B452" s="20">
        <v>45718</v>
      </c>
      <c r="C452" t="s">
        <v>11</v>
      </c>
      <c r="D452" t="s">
        <v>29</v>
      </c>
      <c r="E452" t="s">
        <v>83</v>
      </c>
      <c r="F452" t="s">
        <v>14</v>
      </c>
      <c r="G452">
        <v>2</v>
      </c>
      <c r="H452" s="1">
        <v>17.989999999999998</v>
      </c>
      <c r="I452" s="1">
        <v>35.979999999999997</v>
      </c>
      <c r="J452">
        <v>1</v>
      </c>
      <c r="K452" t="str">
        <f>TEXT(tbl_RawSales[[#This Row],[Order Date]],"mmm")</f>
        <v>Mar</v>
      </c>
      <c r="L452">
        <f>MONTH(tbl_RawSales[[#This Row],[Order Date]])</f>
        <v>3</v>
      </c>
      <c r="M452" t="str">
        <f>TEXT(tbl_RawSales[[#This Row],[Order Date]],"ddd")</f>
        <v>Sun</v>
      </c>
      <c r="N452">
        <f>WEEKDAY(tbl_RawSales[[#This Row],[Order Date]],2)</f>
        <v>7</v>
      </c>
    </row>
    <row r="453" spans="1:14" x14ac:dyDescent="0.25">
      <c r="A453" t="s">
        <v>503</v>
      </c>
      <c r="B453" s="20">
        <v>45432</v>
      </c>
      <c r="C453" t="s">
        <v>11</v>
      </c>
      <c r="D453" t="s">
        <v>12</v>
      </c>
      <c r="E453" t="s">
        <v>176</v>
      </c>
      <c r="F453" t="s">
        <v>67</v>
      </c>
      <c r="G453">
        <v>1</v>
      </c>
      <c r="H453" s="1">
        <v>11.99</v>
      </c>
      <c r="I453" s="1">
        <v>11.99</v>
      </c>
      <c r="J453">
        <v>5</v>
      </c>
      <c r="K453" t="str">
        <f>TEXT(tbl_RawSales[[#This Row],[Order Date]],"mmm")</f>
        <v>May</v>
      </c>
      <c r="L453">
        <f>MONTH(tbl_RawSales[[#This Row],[Order Date]])</f>
        <v>5</v>
      </c>
      <c r="M453" t="str">
        <f>TEXT(tbl_RawSales[[#This Row],[Order Date]],"ddd")</f>
        <v>Mon</v>
      </c>
      <c r="N453">
        <f>WEEKDAY(tbl_RawSales[[#This Row],[Order Date]],2)</f>
        <v>1</v>
      </c>
    </row>
    <row r="454" spans="1:14" x14ac:dyDescent="0.25">
      <c r="A454" t="s">
        <v>504</v>
      </c>
      <c r="B454" s="20">
        <v>45367</v>
      </c>
      <c r="C454" t="s">
        <v>97</v>
      </c>
      <c r="D454" t="s">
        <v>12</v>
      </c>
      <c r="E454" t="s">
        <v>39</v>
      </c>
      <c r="F454" t="s">
        <v>14</v>
      </c>
      <c r="G454">
        <v>1</v>
      </c>
      <c r="H454" s="1">
        <v>24.99</v>
      </c>
      <c r="I454" s="1">
        <v>24.99</v>
      </c>
      <c r="J454">
        <v>1</v>
      </c>
      <c r="K454" t="str">
        <f>TEXT(tbl_RawSales[[#This Row],[Order Date]],"mmm")</f>
        <v>Mar</v>
      </c>
      <c r="L454">
        <f>MONTH(tbl_RawSales[[#This Row],[Order Date]])</f>
        <v>3</v>
      </c>
      <c r="M454" t="str">
        <f>TEXT(tbl_RawSales[[#This Row],[Order Date]],"ddd")</f>
        <v>Sat</v>
      </c>
      <c r="N454">
        <f>WEEKDAY(tbl_RawSales[[#This Row],[Order Date]],2)</f>
        <v>6</v>
      </c>
    </row>
    <row r="455" spans="1:14" x14ac:dyDescent="0.25">
      <c r="A455" t="s">
        <v>505</v>
      </c>
      <c r="B455" s="20">
        <v>45328</v>
      </c>
      <c r="C455" t="s">
        <v>21</v>
      </c>
      <c r="D455" t="s">
        <v>29</v>
      </c>
      <c r="E455" t="s">
        <v>36</v>
      </c>
      <c r="F455" t="s">
        <v>14</v>
      </c>
      <c r="G455">
        <v>2</v>
      </c>
      <c r="H455" s="1">
        <v>16.989999999999998</v>
      </c>
      <c r="I455" s="1">
        <v>33.979999999999997</v>
      </c>
      <c r="J455">
        <v>2</v>
      </c>
      <c r="K455" t="str">
        <f>TEXT(tbl_RawSales[[#This Row],[Order Date]],"mmm")</f>
        <v>Feb</v>
      </c>
      <c r="L455">
        <f>MONTH(tbl_RawSales[[#This Row],[Order Date]])</f>
        <v>2</v>
      </c>
      <c r="M455" t="str">
        <f>TEXT(tbl_RawSales[[#This Row],[Order Date]],"ddd")</f>
        <v>Tue</v>
      </c>
      <c r="N455">
        <f>WEEKDAY(tbl_RawSales[[#This Row],[Order Date]],2)</f>
        <v>2</v>
      </c>
    </row>
    <row r="456" spans="1:14" x14ac:dyDescent="0.25">
      <c r="A456" t="s">
        <v>506</v>
      </c>
      <c r="B456" s="20">
        <v>45305</v>
      </c>
      <c r="C456" t="s">
        <v>34</v>
      </c>
      <c r="D456" t="s">
        <v>29</v>
      </c>
      <c r="E456" t="s">
        <v>46</v>
      </c>
      <c r="F456" t="s">
        <v>14</v>
      </c>
      <c r="G456">
        <v>1</v>
      </c>
      <c r="H456" s="1">
        <v>32.99</v>
      </c>
      <c r="I456" s="1">
        <v>32.99</v>
      </c>
      <c r="J456">
        <v>5</v>
      </c>
      <c r="K456" t="str">
        <f>TEXT(tbl_RawSales[[#This Row],[Order Date]],"mmm")</f>
        <v>Jan</v>
      </c>
      <c r="L456">
        <f>MONTH(tbl_RawSales[[#This Row],[Order Date]])</f>
        <v>1</v>
      </c>
      <c r="M456" t="str">
        <f>TEXT(tbl_RawSales[[#This Row],[Order Date]],"ddd")</f>
        <v>Sun</v>
      </c>
      <c r="N456">
        <f>WEEKDAY(tbl_RawSales[[#This Row],[Order Date]],2)</f>
        <v>7</v>
      </c>
    </row>
    <row r="457" spans="1:14" x14ac:dyDescent="0.25">
      <c r="A457" t="s">
        <v>507</v>
      </c>
      <c r="B457" s="20">
        <v>45930</v>
      </c>
      <c r="C457" t="s">
        <v>97</v>
      </c>
      <c r="D457" t="s">
        <v>12</v>
      </c>
      <c r="E457" t="s">
        <v>119</v>
      </c>
      <c r="F457" t="s">
        <v>19</v>
      </c>
      <c r="G457">
        <v>3</v>
      </c>
      <c r="H457" s="1">
        <v>4.99</v>
      </c>
      <c r="I457" s="1">
        <v>14.97</v>
      </c>
      <c r="J457">
        <v>5</v>
      </c>
      <c r="K457" t="str">
        <f>TEXT(tbl_RawSales[[#This Row],[Order Date]],"mmm")</f>
        <v>Sept</v>
      </c>
      <c r="L457">
        <f>MONTH(tbl_RawSales[[#This Row],[Order Date]])</f>
        <v>9</v>
      </c>
      <c r="M457" t="str">
        <f>TEXT(tbl_RawSales[[#This Row],[Order Date]],"ddd")</f>
        <v>Tue</v>
      </c>
      <c r="N457">
        <f>WEEKDAY(tbl_RawSales[[#This Row],[Order Date]],2)</f>
        <v>2</v>
      </c>
    </row>
    <row r="458" spans="1:14" x14ac:dyDescent="0.25">
      <c r="A458" t="s">
        <v>508</v>
      </c>
      <c r="B458" s="20">
        <v>45314</v>
      </c>
      <c r="C458" t="s">
        <v>45</v>
      </c>
      <c r="D458" t="s">
        <v>29</v>
      </c>
      <c r="E458" t="s">
        <v>62</v>
      </c>
      <c r="F458" t="s">
        <v>23</v>
      </c>
      <c r="G458">
        <v>2</v>
      </c>
      <c r="H458" s="1">
        <v>9.99</v>
      </c>
      <c r="I458" s="1">
        <v>19.98</v>
      </c>
      <c r="J458">
        <v>4</v>
      </c>
      <c r="K458" t="str">
        <f>TEXT(tbl_RawSales[[#This Row],[Order Date]],"mmm")</f>
        <v>Jan</v>
      </c>
      <c r="L458">
        <f>MONTH(tbl_RawSales[[#This Row],[Order Date]])</f>
        <v>1</v>
      </c>
      <c r="M458" t="str">
        <f>TEXT(tbl_RawSales[[#This Row],[Order Date]],"ddd")</f>
        <v>Tue</v>
      </c>
      <c r="N458">
        <f>WEEKDAY(tbl_RawSales[[#This Row],[Order Date]],2)</f>
        <v>2</v>
      </c>
    </row>
    <row r="459" spans="1:14" x14ac:dyDescent="0.25">
      <c r="A459" t="s">
        <v>509</v>
      </c>
      <c r="B459" s="20">
        <v>45375</v>
      </c>
      <c r="C459" t="s">
        <v>16</v>
      </c>
      <c r="D459" t="s">
        <v>12</v>
      </c>
      <c r="E459" t="s">
        <v>62</v>
      </c>
      <c r="F459" t="s">
        <v>23</v>
      </c>
      <c r="G459">
        <v>2</v>
      </c>
      <c r="H459" s="1">
        <v>9.99</v>
      </c>
      <c r="I459" s="1">
        <v>19.98</v>
      </c>
      <c r="J459">
        <v>2</v>
      </c>
      <c r="K459" t="str">
        <f>TEXT(tbl_RawSales[[#This Row],[Order Date]],"mmm")</f>
        <v>Mar</v>
      </c>
      <c r="L459">
        <f>MONTH(tbl_RawSales[[#This Row],[Order Date]])</f>
        <v>3</v>
      </c>
      <c r="M459" t="str">
        <f>TEXT(tbl_RawSales[[#This Row],[Order Date]],"ddd")</f>
        <v>Sun</v>
      </c>
      <c r="N459">
        <f>WEEKDAY(tbl_RawSales[[#This Row],[Order Date]],2)</f>
        <v>7</v>
      </c>
    </row>
    <row r="460" spans="1:14" x14ac:dyDescent="0.25">
      <c r="A460" t="s">
        <v>510</v>
      </c>
      <c r="B460" s="20">
        <v>45584</v>
      </c>
      <c r="C460" t="s">
        <v>97</v>
      </c>
      <c r="D460" t="s">
        <v>12</v>
      </c>
      <c r="E460" t="s">
        <v>26</v>
      </c>
      <c r="F460" t="s">
        <v>19</v>
      </c>
      <c r="G460">
        <v>1</v>
      </c>
      <c r="H460" s="1">
        <v>3.49</v>
      </c>
      <c r="I460" s="1">
        <v>3.49</v>
      </c>
      <c r="J460">
        <v>4</v>
      </c>
      <c r="K460" t="str">
        <f>TEXT(tbl_RawSales[[#This Row],[Order Date]],"mmm")</f>
        <v>Oct</v>
      </c>
      <c r="L460">
        <f>MONTH(tbl_RawSales[[#This Row],[Order Date]])</f>
        <v>10</v>
      </c>
      <c r="M460" t="str">
        <f>TEXT(tbl_RawSales[[#This Row],[Order Date]],"ddd")</f>
        <v>Sat</v>
      </c>
      <c r="N460">
        <f>WEEKDAY(tbl_RawSales[[#This Row],[Order Date]],2)</f>
        <v>6</v>
      </c>
    </row>
    <row r="461" spans="1:14" x14ac:dyDescent="0.25">
      <c r="A461" t="s">
        <v>511</v>
      </c>
      <c r="B461" s="20">
        <v>45589</v>
      </c>
      <c r="C461" t="s">
        <v>45</v>
      </c>
      <c r="D461" t="s">
        <v>12</v>
      </c>
      <c r="E461" t="s">
        <v>36</v>
      </c>
      <c r="F461" t="s">
        <v>14</v>
      </c>
      <c r="G461">
        <v>1</v>
      </c>
      <c r="H461" s="1">
        <v>16.989999999999998</v>
      </c>
      <c r="I461" s="1">
        <v>16.989999999999998</v>
      </c>
      <c r="J461">
        <v>5</v>
      </c>
      <c r="K461" t="str">
        <f>TEXT(tbl_RawSales[[#This Row],[Order Date]],"mmm")</f>
        <v>Oct</v>
      </c>
      <c r="L461">
        <f>MONTH(tbl_RawSales[[#This Row],[Order Date]])</f>
        <v>10</v>
      </c>
      <c r="M461" t="str">
        <f>TEXT(tbl_RawSales[[#This Row],[Order Date]],"ddd")</f>
        <v>Thu</v>
      </c>
      <c r="N461">
        <f>WEEKDAY(tbl_RawSales[[#This Row],[Order Date]],2)</f>
        <v>4</v>
      </c>
    </row>
    <row r="462" spans="1:14" x14ac:dyDescent="0.25">
      <c r="A462" t="s">
        <v>512</v>
      </c>
      <c r="B462" s="20">
        <v>45807</v>
      </c>
      <c r="C462" t="s">
        <v>16</v>
      </c>
      <c r="D462" t="s">
        <v>12</v>
      </c>
      <c r="E462" t="s">
        <v>52</v>
      </c>
      <c r="F462" t="s">
        <v>19</v>
      </c>
      <c r="G462">
        <v>1</v>
      </c>
      <c r="H462" s="1">
        <v>6.99</v>
      </c>
      <c r="I462" s="1">
        <v>6.99</v>
      </c>
      <c r="J462">
        <v>5</v>
      </c>
      <c r="K462" t="str">
        <f>TEXT(tbl_RawSales[[#This Row],[Order Date]],"mmm")</f>
        <v>May</v>
      </c>
      <c r="L462">
        <f>MONTH(tbl_RawSales[[#This Row],[Order Date]])</f>
        <v>5</v>
      </c>
      <c r="M462" t="str">
        <f>TEXT(tbl_RawSales[[#This Row],[Order Date]],"ddd")</f>
        <v>Fri</v>
      </c>
      <c r="N462">
        <f>WEEKDAY(tbl_RawSales[[#This Row],[Order Date]],2)</f>
        <v>5</v>
      </c>
    </row>
    <row r="463" spans="1:14" x14ac:dyDescent="0.25">
      <c r="A463" t="s">
        <v>513</v>
      </c>
      <c r="B463" s="20">
        <v>45942</v>
      </c>
      <c r="C463" t="s">
        <v>25</v>
      </c>
      <c r="D463" t="s">
        <v>17</v>
      </c>
      <c r="E463" t="s">
        <v>50</v>
      </c>
      <c r="F463" t="s">
        <v>14</v>
      </c>
      <c r="G463">
        <v>1</v>
      </c>
      <c r="H463" s="1">
        <v>22.99</v>
      </c>
      <c r="I463" s="1">
        <v>22.99</v>
      </c>
      <c r="J463">
        <v>4</v>
      </c>
      <c r="K463" t="str">
        <f>TEXT(tbl_RawSales[[#This Row],[Order Date]],"mmm")</f>
        <v>Oct</v>
      </c>
      <c r="L463">
        <f>MONTH(tbl_RawSales[[#This Row],[Order Date]])</f>
        <v>10</v>
      </c>
      <c r="M463" t="str">
        <f>TEXT(tbl_RawSales[[#This Row],[Order Date]],"ddd")</f>
        <v>Sun</v>
      </c>
      <c r="N463">
        <f>WEEKDAY(tbl_RawSales[[#This Row],[Order Date]],2)</f>
        <v>7</v>
      </c>
    </row>
    <row r="464" spans="1:14" x14ac:dyDescent="0.25">
      <c r="A464" t="s">
        <v>514</v>
      </c>
      <c r="B464" s="20">
        <v>45683</v>
      </c>
      <c r="C464" t="s">
        <v>16</v>
      </c>
      <c r="D464" t="s">
        <v>29</v>
      </c>
      <c r="E464" t="s">
        <v>22</v>
      </c>
      <c r="F464" t="s">
        <v>23</v>
      </c>
      <c r="G464">
        <v>1</v>
      </c>
      <c r="H464" s="1">
        <v>8.99</v>
      </c>
      <c r="I464" s="1">
        <v>8.99</v>
      </c>
      <c r="J464">
        <v>4</v>
      </c>
      <c r="K464" t="str">
        <f>TEXT(tbl_RawSales[[#This Row],[Order Date]],"mmm")</f>
        <v>Jan</v>
      </c>
      <c r="L464">
        <f>MONTH(tbl_RawSales[[#This Row],[Order Date]])</f>
        <v>1</v>
      </c>
      <c r="M464" t="str">
        <f>TEXT(tbl_RawSales[[#This Row],[Order Date]],"ddd")</f>
        <v>Sun</v>
      </c>
      <c r="N464">
        <f>WEEKDAY(tbl_RawSales[[#This Row],[Order Date]],2)</f>
        <v>7</v>
      </c>
    </row>
    <row r="465" spans="1:14" x14ac:dyDescent="0.25">
      <c r="A465" t="s">
        <v>515</v>
      </c>
      <c r="B465" s="20">
        <v>45300</v>
      </c>
      <c r="C465" t="s">
        <v>11</v>
      </c>
      <c r="D465" t="s">
        <v>29</v>
      </c>
      <c r="E465" t="s">
        <v>221</v>
      </c>
      <c r="F465" t="s">
        <v>67</v>
      </c>
      <c r="G465">
        <v>2</v>
      </c>
      <c r="H465" s="1">
        <v>9.99</v>
      </c>
      <c r="I465" s="1">
        <v>19.98</v>
      </c>
      <c r="J465">
        <v>3</v>
      </c>
      <c r="K465" t="str">
        <f>TEXT(tbl_RawSales[[#This Row],[Order Date]],"mmm")</f>
        <v>Jan</v>
      </c>
      <c r="L465">
        <f>MONTH(tbl_RawSales[[#This Row],[Order Date]])</f>
        <v>1</v>
      </c>
      <c r="M465" t="str">
        <f>TEXT(tbl_RawSales[[#This Row],[Order Date]],"ddd")</f>
        <v>Tue</v>
      </c>
      <c r="N465">
        <f>WEEKDAY(tbl_RawSales[[#This Row],[Order Date]],2)</f>
        <v>2</v>
      </c>
    </row>
    <row r="466" spans="1:14" x14ac:dyDescent="0.25">
      <c r="A466" t="s">
        <v>516</v>
      </c>
      <c r="B466" s="20">
        <v>45905</v>
      </c>
      <c r="C466" t="s">
        <v>25</v>
      </c>
      <c r="D466" t="s">
        <v>17</v>
      </c>
      <c r="E466" t="s">
        <v>119</v>
      </c>
      <c r="F466" t="s">
        <v>19</v>
      </c>
      <c r="G466">
        <v>2</v>
      </c>
      <c r="H466" s="1">
        <v>4.99</v>
      </c>
      <c r="I466" s="1">
        <v>9.98</v>
      </c>
      <c r="J466">
        <v>4</v>
      </c>
      <c r="K466" t="str">
        <f>TEXT(tbl_RawSales[[#This Row],[Order Date]],"mmm")</f>
        <v>Sept</v>
      </c>
      <c r="L466">
        <f>MONTH(tbl_RawSales[[#This Row],[Order Date]])</f>
        <v>9</v>
      </c>
      <c r="M466" t="str">
        <f>TEXT(tbl_RawSales[[#This Row],[Order Date]],"ddd")</f>
        <v>Fri</v>
      </c>
      <c r="N466">
        <f>WEEKDAY(tbl_RawSales[[#This Row],[Order Date]],2)</f>
        <v>5</v>
      </c>
    </row>
    <row r="467" spans="1:14" x14ac:dyDescent="0.25">
      <c r="A467" t="s">
        <v>517</v>
      </c>
      <c r="B467" s="20">
        <v>45755</v>
      </c>
      <c r="C467" t="s">
        <v>45</v>
      </c>
      <c r="D467" t="s">
        <v>17</v>
      </c>
      <c r="E467" t="s">
        <v>41</v>
      </c>
      <c r="F467" t="s">
        <v>23</v>
      </c>
      <c r="G467">
        <v>3</v>
      </c>
      <c r="H467" s="1">
        <v>12.99</v>
      </c>
      <c r="I467" s="1">
        <v>38.97</v>
      </c>
      <c r="J467">
        <v>5</v>
      </c>
      <c r="K467" t="str">
        <f>TEXT(tbl_RawSales[[#This Row],[Order Date]],"mmm")</f>
        <v>Apr</v>
      </c>
      <c r="L467">
        <f>MONTH(tbl_RawSales[[#This Row],[Order Date]])</f>
        <v>4</v>
      </c>
      <c r="M467" t="str">
        <f>TEXT(tbl_RawSales[[#This Row],[Order Date]],"ddd")</f>
        <v>Tue</v>
      </c>
      <c r="N467">
        <f>WEEKDAY(tbl_RawSales[[#This Row],[Order Date]],2)</f>
        <v>2</v>
      </c>
    </row>
    <row r="468" spans="1:14" x14ac:dyDescent="0.25">
      <c r="A468" t="s">
        <v>518</v>
      </c>
      <c r="B468" s="20">
        <v>45766</v>
      </c>
      <c r="C468" t="s">
        <v>21</v>
      </c>
      <c r="D468" t="s">
        <v>29</v>
      </c>
      <c r="E468" t="s">
        <v>55</v>
      </c>
      <c r="F468" t="s">
        <v>23</v>
      </c>
      <c r="G468">
        <v>3</v>
      </c>
      <c r="H468" s="1">
        <v>10.99</v>
      </c>
      <c r="I468" s="1">
        <v>32.97</v>
      </c>
      <c r="J468">
        <v>3</v>
      </c>
      <c r="K468" t="str">
        <f>TEXT(tbl_RawSales[[#This Row],[Order Date]],"mmm")</f>
        <v>Apr</v>
      </c>
      <c r="L468">
        <f>MONTH(tbl_RawSales[[#This Row],[Order Date]])</f>
        <v>4</v>
      </c>
      <c r="M468" t="str">
        <f>TEXT(tbl_RawSales[[#This Row],[Order Date]],"ddd")</f>
        <v>Sat</v>
      </c>
      <c r="N468">
        <f>WEEKDAY(tbl_RawSales[[#This Row],[Order Date]],2)</f>
        <v>6</v>
      </c>
    </row>
    <row r="469" spans="1:14" x14ac:dyDescent="0.25">
      <c r="A469" t="s">
        <v>519</v>
      </c>
      <c r="B469" s="20">
        <v>45807</v>
      </c>
      <c r="C469" t="s">
        <v>45</v>
      </c>
      <c r="D469" t="s">
        <v>29</v>
      </c>
      <c r="E469" t="s">
        <v>26</v>
      </c>
      <c r="F469" t="s">
        <v>19</v>
      </c>
      <c r="G469">
        <v>2</v>
      </c>
      <c r="H469" s="1">
        <v>3.49</v>
      </c>
      <c r="I469" s="1">
        <v>6.98</v>
      </c>
      <c r="J469">
        <v>5</v>
      </c>
      <c r="K469" t="str">
        <f>TEXT(tbl_RawSales[[#This Row],[Order Date]],"mmm")</f>
        <v>May</v>
      </c>
      <c r="L469">
        <f>MONTH(tbl_RawSales[[#This Row],[Order Date]])</f>
        <v>5</v>
      </c>
      <c r="M469" t="str">
        <f>TEXT(tbl_RawSales[[#This Row],[Order Date]],"ddd")</f>
        <v>Fri</v>
      </c>
      <c r="N469">
        <f>WEEKDAY(tbl_RawSales[[#This Row],[Order Date]],2)</f>
        <v>5</v>
      </c>
    </row>
    <row r="470" spans="1:14" x14ac:dyDescent="0.25">
      <c r="A470" t="s">
        <v>520</v>
      </c>
      <c r="B470" s="20">
        <v>45874</v>
      </c>
      <c r="C470" t="s">
        <v>32</v>
      </c>
      <c r="D470" t="s">
        <v>12</v>
      </c>
      <c r="E470" t="s">
        <v>39</v>
      </c>
      <c r="F470" t="s">
        <v>14</v>
      </c>
      <c r="G470">
        <v>2</v>
      </c>
      <c r="H470" s="1">
        <v>24.99</v>
      </c>
      <c r="I470" s="1">
        <v>49.98</v>
      </c>
      <c r="J470">
        <v>5</v>
      </c>
      <c r="K470" t="str">
        <f>TEXT(tbl_RawSales[[#This Row],[Order Date]],"mmm")</f>
        <v>Aug</v>
      </c>
      <c r="L470">
        <f>MONTH(tbl_RawSales[[#This Row],[Order Date]])</f>
        <v>8</v>
      </c>
      <c r="M470" t="str">
        <f>TEXT(tbl_RawSales[[#This Row],[Order Date]],"ddd")</f>
        <v>Tue</v>
      </c>
      <c r="N470">
        <f>WEEKDAY(tbl_RawSales[[#This Row],[Order Date]],2)</f>
        <v>2</v>
      </c>
    </row>
    <row r="471" spans="1:14" x14ac:dyDescent="0.25">
      <c r="A471" t="s">
        <v>521</v>
      </c>
      <c r="B471" s="20">
        <v>45454</v>
      </c>
      <c r="C471" t="s">
        <v>16</v>
      </c>
      <c r="D471" t="s">
        <v>29</v>
      </c>
      <c r="E471" t="s">
        <v>39</v>
      </c>
      <c r="F471" t="s">
        <v>14</v>
      </c>
      <c r="G471">
        <v>1</v>
      </c>
      <c r="H471" s="1">
        <v>24.99</v>
      </c>
      <c r="I471" s="1">
        <v>24.99</v>
      </c>
      <c r="J471">
        <v>4</v>
      </c>
      <c r="K471" t="str">
        <f>TEXT(tbl_RawSales[[#This Row],[Order Date]],"mmm")</f>
        <v>Jun</v>
      </c>
      <c r="L471">
        <f>MONTH(tbl_RawSales[[#This Row],[Order Date]])</f>
        <v>6</v>
      </c>
      <c r="M471" t="str">
        <f>TEXT(tbl_RawSales[[#This Row],[Order Date]],"ddd")</f>
        <v>Tue</v>
      </c>
      <c r="N471">
        <f>WEEKDAY(tbl_RawSales[[#This Row],[Order Date]],2)</f>
        <v>2</v>
      </c>
    </row>
    <row r="472" spans="1:14" x14ac:dyDescent="0.25">
      <c r="A472" t="s">
        <v>522</v>
      </c>
      <c r="B472" s="20">
        <v>45808</v>
      </c>
      <c r="C472" t="s">
        <v>28</v>
      </c>
      <c r="D472" t="s">
        <v>29</v>
      </c>
      <c r="E472" t="s">
        <v>39</v>
      </c>
      <c r="F472" t="s">
        <v>14</v>
      </c>
      <c r="G472">
        <v>1</v>
      </c>
      <c r="H472" s="1">
        <v>24.99</v>
      </c>
      <c r="I472" s="1">
        <v>24.99</v>
      </c>
      <c r="J472">
        <v>5</v>
      </c>
      <c r="K472" t="str">
        <f>TEXT(tbl_RawSales[[#This Row],[Order Date]],"mmm")</f>
        <v>May</v>
      </c>
      <c r="L472">
        <f>MONTH(tbl_RawSales[[#This Row],[Order Date]])</f>
        <v>5</v>
      </c>
      <c r="M472" t="str">
        <f>TEXT(tbl_RawSales[[#This Row],[Order Date]],"ddd")</f>
        <v>Sat</v>
      </c>
      <c r="N472">
        <f>WEEKDAY(tbl_RawSales[[#This Row],[Order Date]],2)</f>
        <v>6</v>
      </c>
    </row>
    <row r="473" spans="1:14" x14ac:dyDescent="0.25">
      <c r="A473" t="s">
        <v>523</v>
      </c>
      <c r="B473" s="20">
        <v>45945</v>
      </c>
      <c r="C473" t="s">
        <v>11</v>
      </c>
      <c r="D473" t="s">
        <v>12</v>
      </c>
      <c r="E473" t="s">
        <v>36</v>
      </c>
      <c r="F473" t="s">
        <v>14</v>
      </c>
      <c r="G473">
        <v>3</v>
      </c>
      <c r="H473" s="1">
        <v>16.989999999999998</v>
      </c>
      <c r="I473" s="1">
        <v>50.97</v>
      </c>
      <c r="J473">
        <v>4</v>
      </c>
      <c r="K473" t="str">
        <f>TEXT(tbl_RawSales[[#This Row],[Order Date]],"mmm")</f>
        <v>Oct</v>
      </c>
      <c r="L473">
        <f>MONTH(tbl_RawSales[[#This Row],[Order Date]])</f>
        <v>10</v>
      </c>
      <c r="M473" t="str">
        <f>TEXT(tbl_RawSales[[#This Row],[Order Date]],"ddd")</f>
        <v>Wed</v>
      </c>
      <c r="N473">
        <f>WEEKDAY(tbl_RawSales[[#This Row],[Order Date]],2)</f>
        <v>3</v>
      </c>
    </row>
    <row r="474" spans="1:14" x14ac:dyDescent="0.25">
      <c r="A474" t="s">
        <v>524</v>
      </c>
      <c r="B474" s="20">
        <v>45312</v>
      </c>
      <c r="C474" t="s">
        <v>38</v>
      </c>
      <c r="D474" t="s">
        <v>29</v>
      </c>
      <c r="E474" t="s">
        <v>79</v>
      </c>
      <c r="F474" t="s">
        <v>67</v>
      </c>
      <c r="G474">
        <v>2</v>
      </c>
      <c r="H474" s="1">
        <v>10.99</v>
      </c>
      <c r="I474" s="1">
        <v>21.98</v>
      </c>
      <c r="J474">
        <v>3</v>
      </c>
      <c r="K474" t="str">
        <f>TEXT(tbl_RawSales[[#This Row],[Order Date]],"mmm")</f>
        <v>Jan</v>
      </c>
      <c r="L474">
        <f>MONTH(tbl_RawSales[[#This Row],[Order Date]])</f>
        <v>1</v>
      </c>
      <c r="M474" t="str">
        <f>TEXT(tbl_RawSales[[#This Row],[Order Date]],"ddd")</f>
        <v>Sun</v>
      </c>
      <c r="N474">
        <f>WEEKDAY(tbl_RawSales[[#This Row],[Order Date]],2)</f>
        <v>7</v>
      </c>
    </row>
    <row r="475" spans="1:14" x14ac:dyDescent="0.25">
      <c r="A475" t="s">
        <v>525</v>
      </c>
      <c r="B475" s="20">
        <v>45297</v>
      </c>
      <c r="C475" t="s">
        <v>25</v>
      </c>
      <c r="D475" t="s">
        <v>17</v>
      </c>
      <c r="E475" t="s">
        <v>83</v>
      </c>
      <c r="F475" t="s">
        <v>14</v>
      </c>
      <c r="G475">
        <v>2</v>
      </c>
      <c r="H475" s="1">
        <v>17.989999999999998</v>
      </c>
      <c r="I475" s="1">
        <v>35.979999999999997</v>
      </c>
      <c r="J475">
        <v>5</v>
      </c>
      <c r="K475" t="str">
        <f>TEXT(tbl_RawSales[[#This Row],[Order Date]],"mmm")</f>
        <v>Jan</v>
      </c>
      <c r="L475">
        <f>MONTH(tbl_RawSales[[#This Row],[Order Date]])</f>
        <v>1</v>
      </c>
      <c r="M475" t="str">
        <f>TEXT(tbl_RawSales[[#This Row],[Order Date]],"ddd")</f>
        <v>Sat</v>
      </c>
      <c r="N475">
        <f>WEEKDAY(tbl_RawSales[[#This Row],[Order Date]],2)</f>
        <v>6</v>
      </c>
    </row>
    <row r="476" spans="1:14" x14ac:dyDescent="0.25">
      <c r="A476" t="s">
        <v>526</v>
      </c>
      <c r="B476" s="20">
        <v>45493</v>
      </c>
      <c r="C476" t="s">
        <v>11</v>
      </c>
      <c r="D476" t="s">
        <v>17</v>
      </c>
      <c r="E476" t="s">
        <v>36</v>
      </c>
      <c r="F476" t="s">
        <v>14</v>
      </c>
      <c r="G476">
        <v>1</v>
      </c>
      <c r="H476" s="1">
        <v>16.989999999999998</v>
      </c>
      <c r="I476" s="1">
        <v>16.989999999999998</v>
      </c>
      <c r="J476">
        <v>4</v>
      </c>
      <c r="K476" t="str">
        <f>TEXT(tbl_RawSales[[#This Row],[Order Date]],"mmm")</f>
        <v>Jul</v>
      </c>
      <c r="L476">
        <f>MONTH(tbl_RawSales[[#This Row],[Order Date]])</f>
        <v>7</v>
      </c>
      <c r="M476" t="str">
        <f>TEXT(tbl_RawSales[[#This Row],[Order Date]],"ddd")</f>
        <v>Sat</v>
      </c>
      <c r="N476">
        <f>WEEKDAY(tbl_RawSales[[#This Row],[Order Date]],2)</f>
        <v>6</v>
      </c>
    </row>
    <row r="477" spans="1:14" x14ac:dyDescent="0.25">
      <c r="A477" t="s">
        <v>527</v>
      </c>
      <c r="B477" s="20">
        <v>45293</v>
      </c>
      <c r="C477" t="s">
        <v>11</v>
      </c>
      <c r="D477" t="s">
        <v>17</v>
      </c>
      <c r="E477" t="s">
        <v>50</v>
      </c>
      <c r="F477" t="s">
        <v>14</v>
      </c>
      <c r="G477">
        <v>2</v>
      </c>
      <c r="H477" s="1">
        <v>22.99</v>
      </c>
      <c r="I477" s="1">
        <v>45.98</v>
      </c>
      <c r="J477">
        <v>4</v>
      </c>
      <c r="K477" t="str">
        <f>TEXT(tbl_RawSales[[#This Row],[Order Date]],"mmm")</f>
        <v>Jan</v>
      </c>
      <c r="L477">
        <f>MONTH(tbl_RawSales[[#This Row],[Order Date]])</f>
        <v>1</v>
      </c>
      <c r="M477" t="str">
        <f>TEXT(tbl_RawSales[[#This Row],[Order Date]],"ddd")</f>
        <v>Tue</v>
      </c>
      <c r="N477">
        <f>WEEKDAY(tbl_RawSales[[#This Row],[Order Date]],2)</f>
        <v>2</v>
      </c>
    </row>
    <row r="478" spans="1:14" x14ac:dyDescent="0.25">
      <c r="A478" t="s">
        <v>528</v>
      </c>
      <c r="B478" s="20">
        <v>45465</v>
      </c>
      <c r="C478" t="s">
        <v>28</v>
      </c>
      <c r="D478" t="s">
        <v>29</v>
      </c>
      <c r="E478" t="s">
        <v>30</v>
      </c>
      <c r="F478" t="s">
        <v>19</v>
      </c>
      <c r="G478">
        <v>2</v>
      </c>
      <c r="H478" s="1">
        <v>7.99</v>
      </c>
      <c r="I478" s="1">
        <v>15.98</v>
      </c>
      <c r="J478">
        <v>3</v>
      </c>
      <c r="K478" t="str">
        <f>TEXT(tbl_RawSales[[#This Row],[Order Date]],"mmm")</f>
        <v>Jun</v>
      </c>
      <c r="L478">
        <f>MONTH(tbl_RawSales[[#This Row],[Order Date]])</f>
        <v>6</v>
      </c>
      <c r="M478" t="str">
        <f>TEXT(tbl_RawSales[[#This Row],[Order Date]],"ddd")</f>
        <v>Sat</v>
      </c>
      <c r="N478">
        <f>WEEKDAY(tbl_RawSales[[#This Row],[Order Date]],2)</f>
        <v>6</v>
      </c>
    </row>
    <row r="479" spans="1:14" x14ac:dyDescent="0.25">
      <c r="A479" t="s">
        <v>529</v>
      </c>
      <c r="B479" s="20">
        <v>45636</v>
      </c>
      <c r="C479" t="s">
        <v>32</v>
      </c>
      <c r="D479" t="s">
        <v>17</v>
      </c>
      <c r="E479" t="s">
        <v>13</v>
      </c>
      <c r="F479" t="s">
        <v>14</v>
      </c>
      <c r="G479">
        <v>1</v>
      </c>
      <c r="H479" s="1">
        <v>18.989999999999998</v>
      </c>
      <c r="I479" s="1">
        <v>18.989999999999998</v>
      </c>
      <c r="J479">
        <v>3</v>
      </c>
      <c r="K479" t="str">
        <f>TEXT(tbl_RawSales[[#This Row],[Order Date]],"mmm")</f>
        <v>Dec</v>
      </c>
      <c r="L479">
        <f>MONTH(tbl_RawSales[[#This Row],[Order Date]])</f>
        <v>12</v>
      </c>
      <c r="M479" t="str">
        <f>TEXT(tbl_RawSales[[#This Row],[Order Date]],"ddd")</f>
        <v>Tue</v>
      </c>
      <c r="N479">
        <f>WEEKDAY(tbl_RawSales[[#This Row],[Order Date]],2)</f>
        <v>2</v>
      </c>
    </row>
    <row r="480" spans="1:14" x14ac:dyDescent="0.25">
      <c r="A480" t="s">
        <v>530</v>
      </c>
      <c r="B480" s="20">
        <v>45647</v>
      </c>
      <c r="C480" t="s">
        <v>45</v>
      </c>
      <c r="D480" t="s">
        <v>17</v>
      </c>
      <c r="E480" t="s">
        <v>13</v>
      </c>
      <c r="F480" t="s">
        <v>14</v>
      </c>
      <c r="G480">
        <v>2</v>
      </c>
      <c r="H480" s="1">
        <v>18.989999999999998</v>
      </c>
      <c r="I480" s="1">
        <v>37.979999999999997</v>
      </c>
      <c r="J480">
        <v>3</v>
      </c>
      <c r="K480" t="str">
        <f>TEXT(tbl_RawSales[[#This Row],[Order Date]],"mmm")</f>
        <v>Dec</v>
      </c>
      <c r="L480">
        <f>MONTH(tbl_RawSales[[#This Row],[Order Date]])</f>
        <v>12</v>
      </c>
      <c r="M480" t="str">
        <f>TEXT(tbl_RawSales[[#This Row],[Order Date]],"ddd")</f>
        <v>Sat</v>
      </c>
      <c r="N480">
        <f>WEEKDAY(tbl_RawSales[[#This Row],[Order Date]],2)</f>
        <v>6</v>
      </c>
    </row>
    <row r="481" spans="1:14" x14ac:dyDescent="0.25">
      <c r="A481" t="s">
        <v>531</v>
      </c>
      <c r="B481" s="20">
        <v>45845</v>
      </c>
      <c r="C481" t="s">
        <v>32</v>
      </c>
      <c r="D481" t="s">
        <v>12</v>
      </c>
      <c r="E481" t="s">
        <v>13</v>
      </c>
      <c r="F481" t="s">
        <v>14</v>
      </c>
      <c r="G481">
        <v>2</v>
      </c>
      <c r="H481" s="1">
        <v>18.989999999999998</v>
      </c>
      <c r="I481" s="1">
        <v>37.979999999999997</v>
      </c>
      <c r="J481">
        <v>3</v>
      </c>
      <c r="K481" t="str">
        <f>TEXT(tbl_RawSales[[#This Row],[Order Date]],"mmm")</f>
        <v>Jul</v>
      </c>
      <c r="L481">
        <f>MONTH(tbl_RawSales[[#This Row],[Order Date]])</f>
        <v>7</v>
      </c>
      <c r="M481" t="str">
        <f>TEXT(tbl_RawSales[[#This Row],[Order Date]],"ddd")</f>
        <v>Mon</v>
      </c>
      <c r="N481">
        <f>WEEKDAY(tbl_RawSales[[#This Row],[Order Date]],2)</f>
        <v>1</v>
      </c>
    </row>
    <row r="482" spans="1:14" x14ac:dyDescent="0.25">
      <c r="A482" t="s">
        <v>532</v>
      </c>
      <c r="B482" s="20">
        <v>45339</v>
      </c>
      <c r="C482" t="s">
        <v>32</v>
      </c>
      <c r="D482" t="s">
        <v>29</v>
      </c>
      <c r="E482" t="s">
        <v>36</v>
      </c>
      <c r="F482" t="s">
        <v>14</v>
      </c>
      <c r="G482">
        <v>1</v>
      </c>
      <c r="H482" s="1">
        <v>16.989999999999998</v>
      </c>
      <c r="I482" s="1">
        <v>16.989999999999998</v>
      </c>
      <c r="J482">
        <v>4</v>
      </c>
      <c r="K482" t="str">
        <f>TEXT(tbl_RawSales[[#This Row],[Order Date]],"mmm")</f>
        <v>Feb</v>
      </c>
      <c r="L482">
        <f>MONTH(tbl_RawSales[[#This Row],[Order Date]])</f>
        <v>2</v>
      </c>
      <c r="M482" t="str">
        <f>TEXT(tbl_RawSales[[#This Row],[Order Date]],"ddd")</f>
        <v>Sat</v>
      </c>
      <c r="N482">
        <f>WEEKDAY(tbl_RawSales[[#This Row],[Order Date]],2)</f>
        <v>6</v>
      </c>
    </row>
    <row r="483" spans="1:14" x14ac:dyDescent="0.25">
      <c r="A483" t="s">
        <v>533</v>
      </c>
      <c r="B483" s="20">
        <v>45741</v>
      </c>
      <c r="C483" t="s">
        <v>38</v>
      </c>
      <c r="D483" t="s">
        <v>17</v>
      </c>
      <c r="E483" t="s">
        <v>46</v>
      </c>
      <c r="F483" t="s">
        <v>14</v>
      </c>
      <c r="G483">
        <v>2</v>
      </c>
      <c r="H483" s="1">
        <v>32.99</v>
      </c>
      <c r="I483" s="1">
        <v>65.98</v>
      </c>
      <c r="J483">
        <v>4</v>
      </c>
      <c r="K483" t="str">
        <f>TEXT(tbl_RawSales[[#This Row],[Order Date]],"mmm")</f>
        <v>Mar</v>
      </c>
      <c r="L483">
        <f>MONTH(tbl_RawSales[[#This Row],[Order Date]])</f>
        <v>3</v>
      </c>
      <c r="M483" t="str">
        <f>TEXT(tbl_RawSales[[#This Row],[Order Date]],"ddd")</f>
        <v>Tue</v>
      </c>
      <c r="N483">
        <f>WEEKDAY(tbl_RawSales[[#This Row],[Order Date]],2)</f>
        <v>2</v>
      </c>
    </row>
    <row r="484" spans="1:14" x14ac:dyDescent="0.25">
      <c r="A484" t="s">
        <v>534</v>
      </c>
      <c r="B484" s="20">
        <v>45704</v>
      </c>
      <c r="C484" t="s">
        <v>11</v>
      </c>
      <c r="D484" t="s">
        <v>17</v>
      </c>
      <c r="E484" t="s">
        <v>119</v>
      </c>
      <c r="F484" t="s">
        <v>19</v>
      </c>
      <c r="G484">
        <v>1</v>
      </c>
      <c r="H484" s="1">
        <v>4.99</v>
      </c>
      <c r="I484" s="1">
        <v>4.99</v>
      </c>
      <c r="J484">
        <v>3</v>
      </c>
      <c r="K484" t="str">
        <f>TEXT(tbl_RawSales[[#This Row],[Order Date]],"mmm")</f>
        <v>Feb</v>
      </c>
      <c r="L484">
        <f>MONTH(tbl_RawSales[[#This Row],[Order Date]])</f>
        <v>2</v>
      </c>
      <c r="M484" t="str">
        <f>TEXT(tbl_RawSales[[#This Row],[Order Date]],"ddd")</f>
        <v>Sun</v>
      </c>
      <c r="N484">
        <f>WEEKDAY(tbl_RawSales[[#This Row],[Order Date]],2)</f>
        <v>7</v>
      </c>
    </row>
    <row r="485" spans="1:14" x14ac:dyDescent="0.25">
      <c r="A485" t="s">
        <v>535</v>
      </c>
      <c r="B485" s="20">
        <v>45356</v>
      </c>
      <c r="C485" t="s">
        <v>38</v>
      </c>
      <c r="D485" t="s">
        <v>29</v>
      </c>
      <c r="E485" t="s">
        <v>119</v>
      </c>
      <c r="F485" t="s">
        <v>19</v>
      </c>
      <c r="G485">
        <v>2</v>
      </c>
      <c r="H485" s="1">
        <v>4.99</v>
      </c>
      <c r="I485" s="1">
        <v>9.98</v>
      </c>
      <c r="J485">
        <v>5</v>
      </c>
      <c r="K485" t="str">
        <f>TEXT(tbl_RawSales[[#This Row],[Order Date]],"mmm")</f>
        <v>Mar</v>
      </c>
      <c r="L485">
        <f>MONTH(tbl_RawSales[[#This Row],[Order Date]])</f>
        <v>3</v>
      </c>
      <c r="M485" t="str">
        <f>TEXT(tbl_RawSales[[#This Row],[Order Date]],"ddd")</f>
        <v>Tue</v>
      </c>
      <c r="N485">
        <f>WEEKDAY(tbl_RawSales[[#This Row],[Order Date]],2)</f>
        <v>2</v>
      </c>
    </row>
    <row r="486" spans="1:14" x14ac:dyDescent="0.25">
      <c r="A486" t="s">
        <v>536</v>
      </c>
      <c r="B486" s="20">
        <v>45337</v>
      </c>
      <c r="C486" t="s">
        <v>34</v>
      </c>
      <c r="D486" t="s">
        <v>17</v>
      </c>
      <c r="E486" t="s">
        <v>39</v>
      </c>
      <c r="F486" t="s">
        <v>14</v>
      </c>
      <c r="G486">
        <v>1</v>
      </c>
      <c r="H486" s="1">
        <v>24.99</v>
      </c>
      <c r="I486" s="1">
        <v>24.99</v>
      </c>
      <c r="J486">
        <v>3</v>
      </c>
      <c r="K486" t="str">
        <f>TEXT(tbl_RawSales[[#This Row],[Order Date]],"mmm")</f>
        <v>Feb</v>
      </c>
      <c r="L486">
        <f>MONTH(tbl_RawSales[[#This Row],[Order Date]])</f>
        <v>2</v>
      </c>
      <c r="M486" t="str">
        <f>TEXT(tbl_RawSales[[#This Row],[Order Date]],"ddd")</f>
        <v>Thu</v>
      </c>
      <c r="N486">
        <f>WEEKDAY(tbl_RawSales[[#This Row],[Order Date]],2)</f>
        <v>4</v>
      </c>
    </row>
    <row r="487" spans="1:14" x14ac:dyDescent="0.25">
      <c r="A487" t="s">
        <v>537</v>
      </c>
      <c r="B487" s="20">
        <v>45797</v>
      </c>
      <c r="C487" t="s">
        <v>11</v>
      </c>
      <c r="D487" t="s">
        <v>17</v>
      </c>
      <c r="E487" t="s">
        <v>83</v>
      </c>
      <c r="F487" t="s">
        <v>14</v>
      </c>
      <c r="G487">
        <v>3</v>
      </c>
      <c r="H487" s="1">
        <v>17.989999999999998</v>
      </c>
      <c r="I487" s="1">
        <v>53.97</v>
      </c>
      <c r="J487">
        <v>5</v>
      </c>
      <c r="K487" t="str">
        <f>TEXT(tbl_RawSales[[#This Row],[Order Date]],"mmm")</f>
        <v>May</v>
      </c>
      <c r="L487">
        <f>MONTH(tbl_RawSales[[#This Row],[Order Date]])</f>
        <v>5</v>
      </c>
      <c r="M487" t="str">
        <f>TEXT(tbl_RawSales[[#This Row],[Order Date]],"ddd")</f>
        <v>Tue</v>
      </c>
      <c r="N487">
        <f>WEEKDAY(tbl_RawSales[[#This Row],[Order Date]],2)</f>
        <v>2</v>
      </c>
    </row>
    <row r="488" spans="1:14" x14ac:dyDescent="0.25">
      <c r="A488" t="s">
        <v>538</v>
      </c>
      <c r="B488" s="20">
        <v>45965</v>
      </c>
      <c r="C488" t="s">
        <v>32</v>
      </c>
      <c r="D488" t="s">
        <v>12</v>
      </c>
      <c r="E488" t="s">
        <v>13</v>
      </c>
      <c r="F488" t="s">
        <v>14</v>
      </c>
      <c r="G488">
        <v>2</v>
      </c>
      <c r="H488" s="1">
        <v>18.989999999999998</v>
      </c>
      <c r="I488" s="1">
        <v>37.979999999999997</v>
      </c>
      <c r="J488">
        <v>3</v>
      </c>
      <c r="K488" t="str">
        <f>TEXT(tbl_RawSales[[#This Row],[Order Date]],"mmm")</f>
        <v>Nov</v>
      </c>
      <c r="L488">
        <f>MONTH(tbl_RawSales[[#This Row],[Order Date]])</f>
        <v>11</v>
      </c>
      <c r="M488" t="str">
        <f>TEXT(tbl_RawSales[[#This Row],[Order Date]],"ddd")</f>
        <v>Tue</v>
      </c>
      <c r="N488">
        <f>WEEKDAY(tbl_RawSales[[#This Row],[Order Date]],2)</f>
        <v>2</v>
      </c>
    </row>
    <row r="489" spans="1:14" x14ac:dyDescent="0.25">
      <c r="A489" t="s">
        <v>539</v>
      </c>
      <c r="B489" s="20">
        <v>45591</v>
      </c>
      <c r="C489" t="s">
        <v>97</v>
      </c>
      <c r="D489" t="s">
        <v>29</v>
      </c>
      <c r="E489" t="s">
        <v>13</v>
      </c>
      <c r="F489" t="s">
        <v>14</v>
      </c>
      <c r="G489">
        <v>1</v>
      </c>
      <c r="H489" s="1">
        <v>18.989999999999998</v>
      </c>
      <c r="I489" s="1">
        <v>18.989999999999998</v>
      </c>
      <c r="J489">
        <v>4</v>
      </c>
      <c r="K489" t="str">
        <f>TEXT(tbl_RawSales[[#This Row],[Order Date]],"mmm")</f>
        <v>Oct</v>
      </c>
      <c r="L489">
        <f>MONTH(tbl_RawSales[[#This Row],[Order Date]])</f>
        <v>10</v>
      </c>
      <c r="M489" t="str">
        <f>TEXT(tbl_RawSales[[#This Row],[Order Date]],"ddd")</f>
        <v>Sat</v>
      </c>
      <c r="N489">
        <f>WEEKDAY(tbl_RawSales[[#This Row],[Order Date]],2)</f>
        <v>6</v>
      </c>
    </row>
    <row r="490" spans="1:14" x14ac:dyDescent="0.25">
      <c r="A490" t="s">
        <v>540</v>
      </c>
      <c r="B490" s="20">
        <v>45455</v>
      </c>
      <c r="C490" t="s">
        <v>11</v>
      </c>
      <c r="D490" t="s">
        <v>29</v>
      </c>
      <c r="E490" t="s">
        <v>66</v>
      </c>
      <c r="F490" t="s">
        <v>67</v>
      </c>
      <c r="G490">
        <v>1</v>
      </c>
      <c r="H490" s="1">
        <v>7.99</v>
      </c>
      <c r="I490" s="1">
        <v>7.99</v>
      </c>
      <c r="J490">
        <v>5</v>
      </c>
      <c r="K490" t="str">
        <f>TEXT(tbl_RawSales[[#This Row],[Order Date]],"mmm")</f>
        <v>Jun</v>
      </c>
      <c r="L490">
        <f>MONTH(tbl_RawSales[[#This Row],[Order Date]])</f>
        <v>6</v>
      </c>
      <c r="M490" t="str">
        <f>TEXT(tbl_RawSales[[#This Row],[Order Date]],"ddd")</f>
        <v>Wed</v>
      </c>
      <c r="N490">
        <f>WEEKDAY(tbl_RawSales[[#This Row],[Order Date]],2)</f>
        <v>3</v>
      </c>
    </row>
    <row r="491" spans="1:14" x14ac:dyDescent="0.25">
      <c r="A491" t="s">
        <v>541</v>
      </c>
      <c r="B491" s="20">
        <v>45410</v>
      </c>
      <c r="C491" t="s">
        <v>32</v>
      </c>
      <c r="D491" t="s">
        <v>29</v>
      </c>
      <c r="E491" t="s">
        <v>69</v>
      </c>
      <c r="F491" t="s">
        <v>67</v>
      </c>
      <c r="G491">
        <v>2</v>
      </c>
      <c r="H491" s="1">
        <v>8.99</v>
      </c>
      <c r="I491" s="1">
        <v>17.98</v>
      </c>
      <c r="J491">
        <v>4</v>
      </c>
      <c r="K491" t="str">
        <f>TEXT(tbl_RawSales[[#This Row],[Order Date]],"mmm")</f>
        <v>Apr</v>
      </c>
      <c r="L491">
        <f>MONTH(tbl_RawSales[[#This Row],[Order Date]])</f>
        <v>4</v>
      </c>
      <c r="M491" t="str">
        <f>TEXT(tbl_RawSales[[#This Row],[Order Date]],"ddd")</f>
        <v>Sun</v>
      </c>
      <c r="N491">
        <f>WEEKDAY(tbl_RawSales[[#This Row],[Order Date]],2)</f>
        <v>7</v>
      </c>
    </row>
    <row r="492" spans="1:14" x14ac:dyDescent="0.25">
      <c r="A492" t="s">
        <v>542</v>
      </c>
      <c r="B492" s="20">
        <v>45787</v>
      </c>
      <c r="C492" t="s">
        <v>16</v>
      </c>
      <c r="D492" t="s">
        <v>12</v>
      </c>
      <c r="E492" t="s">
        <v>112</v>
      </c>
      <c r="F492" t="s">
        <v>19</v>
      </c>
      <c r="G492">
        <v>2</v>
      </c>
      <c r="H492" s="1">
        <v>5.99</v>
      </c>
      <c r="I492" s="1">
        <v>11.98</v>
      </c>
      <c r="J492">
        <v>4</v>
      </c>
      <c r="K492" t="str">
        <f>TEXT(tbl_RawSales[[#This Row],[Order Date]],"mmm")</f>
        <v>May</v>
      </c>
      <c r="L492">
        <f>MONTH(tbl_RawSales[[#This Row],[Order Date]])</f>
        <v>5</v>
      </c>
      <c r="M492" t="str">
        <f>TEXT(tbl_RawSales[[#This Row],[Order Date]],"ddd")</f>
        <v>Sat</v>
      </c>
      <c r="N492">
        <f>WEEKDAY(tbl_RawSales[[#This Row],[Order Date]],2)</f>
        <v>6</v>
      </c>
    </row>
    <row r="493" spans="1:14" x14ac:dyDescent="0.25">
      <c r="A493" t="s">
        <v>543</v>
      </c>
      <c r="B493" s="20">
        <v>45374</v>
      </c>
      <c r="C493" t="s">
        <v>28</v>
      </c>
      <c r="D493" t="s">
        <v>29</v>
      </c>
      <c r="E493" t="s">
        <v>112</v>
      </c>
      <c r="F493" t="s">
        <v>19</v>
      </c>
      <c r="G493">
        <v>2</v>
      </c>
      <c r="H493" s="1">
        <v>5.99</v>
      </c>
      <c r="I493" s="1">
        <v>11.98</v>
      </c>
      <c r="J493">
        <v>3</v>
      </c>
      <c r="K493" t="str">
        <f>TEXT(tbl_RawSales[[#This Row],[Order Date]],"mmm")</f>
        <v>Mar</v>
      </c>
      <c r="L493">
        <f>MONTH(tbl_RawSales[[#This Row],[Order Date]])</f>
        <v>3</v>
      </c>
      <c r="M493" t="str">
        <f>TEXT(tbl_RawSales[[#This Row],[Order Date]],"ddd")</f>
        <v>Sat</v>
      </c>
      <c r="N493">
        <f>WEEKDAY(tbl_RawSales[[#This Row],[Order Date]],2)</f>
        <v>6</v>
      </c>
    </row>
    <row r="494" spans="1:14" x14ac:dyDescent="0.25">
      <c r="A494" t="s">
        <v>544</v>
      </c>
      <c r="B494" s="20">
        <v>45837</v>
      </c>
      <c r="C494" t="s">
        <v>97</v>
      </c>
      <c r="D494" t="s">
        <v>29</v>
      </c>
      <c r="E494" t="s">
        <v>112</v>
      </c>
      <c r="F494" t="s">
        <v>19</v>
      </c>
      <c r="G494">
        <v>2</v>
      </c>
      <c r="H494" s="1">
        <v>5.99</v>
      </c>
      <c r="I494" s="1">
        <v>11.98</v>
      </c>
      <c r="J494">
        <v>4</v>
      </c>
      <c r="K494" t="str">
        <f>TEXT(tbl_RawSales[[#This Row],[Order Date]],"mmm")</f>
        <v>Jun</v>
      </c>
      <c r="L494">
        <f>MONTH(tbl_RawSales[[#This Row],[Order Date]])</f>
        <v>6</v>
      </c>
      <c r="M494" t="str">
        <f>TEXT(tbl_RawSales[[#This Row],[Order Date]],"ddd")</f>
        <v>Sun</v>
      </c>
      <c r="N494">
        <f>WEEKDAY(tbl_RawSales[[#This Row],[Order Date]],2)</f>
        <v>7</v>
      </c>
    </row>
    <row r="495" spans="1:14" x14ac:dyDescent="0.25">
      <c r="A495" t="s">
        <v>545</v>
      </c>
      <c r="B495" s="20">
        <v>45611</v>
      </c>
      <c r="C495" t="s">
        <v>25</v>
      </c>
      <c r="D495" t="s">
        <v>12</v>
      </c>
      <c r="E495" t="s">
        <v>83</v>
      </c>
      <c r="F495" t="s">
        <v>14</v>
      </c>
      <c r="G495">
        <v>1</v>
      </c>
      <c r="H495" s="1">
        <v>17.989999999999998</v>
      </c>
      <c r="I495" s="1">
        <v>17.989999999999998</v>
      </c>
      <c r="J495">
        <v>5</v>
      </c>
      <c r="K495" t="str">
        <f>TEXT(tbl_RawSales[[#This Row],[Order Date]],"mmm")</f>
        <v>Nov</v>
      </c>
      <c r="L495">
        <f>MONTH(tbl_RawSales[[#This Row],[Order Date]])</f>
        <v>11</v>
      </c>
      <c r="M495" t="str">
        <f>TEXT(tbl_RawSales[[#This Row],[Order Date]],"ddd")</f>
        <v>Fri</v>
      </c>
      <c r="N495">
        <f>WEEKDAY(tbl_RawSales[[#This Row],[Order Date]],2)</f>
        <v>5</v>
      </c>
    </row>
    <row r="496" spans="1:14" x14ac:dyDescent="0.25">
      <c r="A496" t="s">
        <v>546</v>
      </c>
      <c r="B496" s="20">
        <v>45652</v>
      </c>
      <c r="C496" t="s">
        <v>11</v>
      </c>
      <c r="D496" t="s">
        <v>17</v>
      </c>
      <c r="E496" t="s">
        <v>50</v>
      </c>
      <c r="F496" t="s">
        <v>14</v>
      </c>
      <c r="G496">
        <v>1</v>
      </c>
      <c r="H496" s="1">
        <v>22.99</v>
      </c>
      <c r="I496" s="1">
        <v>22.99</v>
      </c>
      <c r="J496">
        <v>5</v>
      </c>
      <c r="K496" t="str">
        <f>TEXT(tbl_RawSales[[#This Row],[Order Date]],"mmm")</f>
        <v>Dec</v>
      </c>
      <c r="L496">
        <f>MONTH(tbl_RawSales[[#This Row],[Order Date]])</f>
        <v>12</v>
      </c>
      <c r="M496" t="str">
        <f>TEXT(tbl_RawSales[[#This Row],[Order Date]],"ddd")</f>
        <v>Thu</v>
      </c>
      <c r="N496">
        <f>WEEKDAY(tbl_RawSales[[#This Row],[Order Date]],2)</f>
        <v>4</v>
      </c>
    </row>
    <row r="497" spans="1:14" x14ac:dyDescent="0.25">
      <c r="A497" t="s">
        <v>547</v>
      </c>
      <c r="B497" s="20">
        <v>45818</v>
      </c>
      <c r="C497" t="s">
        <v>97</v>
      </c>
      <c r="D497" t="s">
        <v>12</v>
      </c>
      <c r="E497" t="s">
        <v>79</v>
      </c>
      <c r="F497" t="s">
        <v>67</v>
      </c>
      <c r="G497">
        <v>1</v>
      </c>
      <c r="H497" s="1">
        <v>10.99</v>
      </c>
      <c r="I497" s="1">
        <v>10.99</v>
      </c>
      <c r="J497">
        <v>4</v>
      </c>
      <c r="K497" t="str">
        <f>TEXT(tbl_RawSales[[#This Row],[Order Date]],"mmm")</f>
        <v>Jun</v>
      </c>
      <c r="L497">
        <f>MONTH(tbl_RawSales[[#This Row],[Order Date]])</f>
        <v>6</v>
      </c>
      <c r="M497" t="str">
        <f>TEXT(tbl_RawSales[[#This Row],[Order Date]],"ddd")</f>
        <v>Tue</v>
      </c>
      <c r="N497">
        <f>WEEKDAY(tbl_RawSales[[#This Row],[Order Date]],2)</f>
        <v>2</v>
      </c>
    </row>
    <row r="498" spans="1:14" x14ac:dyDescent="0.25">
      <c r="A498" t="s">
        <v>548</v>
      </c>
      <c r="B498" s="20">
        <v>45978</v>
      </c>
      <c r="C498" t="s">
        <v>45</v>
      </c>
      <c r="D498" t="s">
        <v>12</v>
      </c>
      <c r="E498" t="s">
        <v>74</v>
      </c>
      <c r="F498" t="s">
        <v>14</v>
      </c>
      <c r="G498">
        <v>1</v>
      </c>
      <c r="H498" s="1">
        <v>14.99</v>
      </c>
      <c r="I498" s="1">
        <v>14.99</v>
      </c>
      <c r="J498">
        <v>4</v>
      </c>
      <c r="K498" t="str">
        <f>TEXT(tbl_RawSales[[#This Row],[Order Date]],"mmm")</f>
        <v>Nov</v>
      </c>
      <c r="L498">
        <f>MONTH(tbl_RawSales[[#This Row],[Order Date]])</f>
        <v>11</v>
      </c>
      <c r="M498" t="str">
        <f>TEXT(tbl_RawSales[[#This Row],[Order Date]],"ddd")</f>
        <v>Mon</v>
      </c>
      <c r="N498">
        <f>WEEKDAY(tbl_RawSales[[#This Row],[Order Date]],2)</f>
        <v>1</v>
      </c>
    </row>
    <row r="499" spans="1:14" x14ac:dyDescent="0.25">
      <c r="A499" t="s">
        <v>549</v>
      </c>
      <c r="B499" s="20">
        <v>45640</v>
      </c>
      <c r="C499" t="s">
        <v>38</v>
      </c>
      <c r="D499" t="s">
        <v>29</v>
      </c>
      <c r="E499" t="s">
        <v>36</v>
      </c>
      <c r="F499" t="s">
        <v>14</v>
      </c>
      <c r="G499">
        <v>1</v>
      </c>
      <c r="H499" s="1">
        <v>16.989999999999998</v>
      </c>
      <c r="I499" s="1">
        <v>16.989999999999998</v>
      </c>
      <c r="J499">
        <v>4</v>
      </c>
      <c r="K499" t="str">
        <f>TEXT(tbl_RawSales[[#This Row],[Order Date]],"mmm")</f>
        <v>Dec</v>
      </c>
      <c r="L499">
        <f>MONTH(tbl_RawSales[[#This Row],[Order Date]])</f>
        <v>12</v>
      </c>
      <c r="M499" t="str">
        <f>TEXT(tbl_RawSales[[#This Row],[Order Date]],"ddd")</f>
        <v>Sat</v>
      </c>
      <c r="N499">
        <f>WEEKDAY(tbl_RawSales[[#This Row],[Order Date]],2)</f>
        <v>6</v>
      </c>
    </row>
    <row r="500" spans="1:14" x14ac:dyDescent="0.25">
      <c r="A500" t="s">
        <v>550</v>
      </c>
      <c r="B500" s="20">
        <v>45646</v>
      </c>
      <c r="C500" t="s">
        <v>11</v>
      </c>
      <c r="D500" t="s">
        <v>12</v>
      </c>
      <c r="E500" t="s">
        <v>142</v>
      </c>
      <c r="F500" t="s">
        <v>23</v>
      </c>
      <c r="G500">
        <v>2</v>
      </c>
      <c r="H500" s="1">
        <v>14.99</v>
      </c>
      <c r="I500" s="1">
        <v>29.98</v>
      </c>
      <c r="J500">
        <v>5</v>
      </c>
      <c r="K500" t="str">
        <f>TEXT(tbl_RawSales[[#This Row],[Order Date]],"mmm")</f>
        <v>Dec</v>
      </c>
      <c r="L500">
        <f>MONTH(tbl_RawSales[[#This Row],[Order Date]])</f>
        <v>12</v>
      </c>
      <c r="M500" t="str">
        <f>TEXT(tbl_RawSales[[#This Row],[Order Date]],"ddd")</f>
        <v>Fri</v>
      </c>
      <c r="N500">
        <f>WEEKDAY(tbl_RawSales[[#This Row],[Order Date]],2)</f>
        <v>5</v>
      </c>
    </row>
    <row r="501" spans="1:14" x14ac:dyDescent="0.25">
      <c r="A501" t="s">
        <v>551</v>
      </c>
      <c r="B501" s="20">
        <v>45809</v>
      </c>
      <c r="C501" t="s">
        <v>16</v>
      </c>
      <c r="D501" t="s">
        <v>29</v>
      </c>
      <c r="E501" t="s">
        <v>57</v>
      </c>
      <c r="F501" t="s">
        <v>14</v>
      </c>
      <c r="G501">
        <v>1</v>
      </c>
      <c r="H501" s="1">
        <v>15.99</v>
      </c>
      <c r="I501" s="1">
        <v>15.99</v>
      </c>
      <c r="J501">
        <v>5</v>
      </c>
      <c r="K501" t="str">
        <f>TEXT(tbl_RawSales[[#This Row],[Order Date]],"mmm")</f>
        <v>Jun</v>
      </c>
      <c r="L501">
        <f>MONTH(tbl_RawSales[[#This Row],[Order Date]])</f>
        <v>6</v>
      </c>
      <c r="M501" t="str">
        <f>TEXT(tbl_RawSales[[#This Row],[Order Date]],"ddd")</f>
        <v>Sun</v>
      </c>
      <c r="N501">
        <f>WEEKDAY(tbl_RawSales[[#This Row],[Order Date]],2)</f>
        <v>7</v>
      </c>
    </row>
    <row r="502" spans="1:14" x14ac:dyDescent="0.25">
      <c r="A502" t="s">
        <v>552</v>
      </c>
      <c r="B502" s="20">
        <v>45898</v>
      </c>
      <c r="C502" t="s">
        <v>21</v>
      </c>
      <c r="D502" t="s">
        <v>17</v>
      </c>
      <c r="E502" t="s">
        <v>26</v>
      </c>
      <c r="F502" t="s">
        <v>19</v>
      </c>
      <c r="G502">
        <v>4</v>
      </c>
      <c r="H502" s="1">
        <v>3.49</v>
      </c>
      <c r="I502" s="1">
        <v>13.96</v>
      </c>
      <c r="J502">
        <v>5</v>
      </c>
      <c r="K502" t="str">
        <f>TEXT(tbl_RawSales[[#This Row],[Order Date]],"mmm")</f>
        <v>Aug</v>
      </c>
      <c r="L502">
        <f>MONTH(tbl_RawSales[[#This Row],[Order Date]])</f>
        <v>8</v>
      </c>
      <c r="M502" t="str">
        <f>TEXT(tbl_RawSales[[#This Row],[Order Date]],"ddd")</f>
        <v>Fri</v>
      </c>
      <c r="N502">
        <f>WEEKDAY(tbl_RawSales[[#This Row],[Order Date]],2)</f>
        <v>5</v>
      </c>
    </row>
    <row r="503" spans="1:14" x14ac:dyDescent="0.25">
      <c r="A503" t="s">
        <v>553</v>
      </c>
      <c r="B503" s="20">
        <v>45928</v>
      </c>
      <c r="C503" t="s">
        <v>38</v>
      </c>
      <c r="D503" t="s">
        <v>29</v>
      </c>
      <c r="E503" t="s">
        <v>26</v>
      </c>
      <c r="F503" t="s">
        <v>19</v>
      </c>
      <c r="G503">
        <v>1</v>
      </c>
      <c r="H503" s="1">
        <v>3.49</v>
      </c>
      <c r="I503" s="1">
        <v>3.49</v>
      </c>
      <c r="J503">
        <v>4</v>
      </c>
      <c r="K503" t="str">
        <f>TEXT(tbl_RawSales[[#This Row],[Order Date]],"mmm")</f>
        <v>Sept</v>
      </c>
      <c r="L503">
        <f>MONTH(tbl_RawSales[[#This Row],[Order Date]])</f>
        <v>9</v>
      </c>
      <c r="M503" t="str">
        <f>TEXT(tbl_RawSales[[#This Row],[Order Date]],"ddd")</f>
        <v>Sun</v>
      </c>
      <c r="N503">
        <f>WEEKDAY(tbl_RawSales[[#This Row],[Order Date]],2)</f>
        <v>7</v>
      </c>
    </row>
    <row r="504" spans="1:14" x14ac:dyDescent="0.25">
      <c r="A504" t="s">
        <v>554</v>
      </c>
      <c r="B504" s="20">
        <v>45922</v>
      </c>
      <c r="C504" t="s">
        <v>11</v>
      </c>
      <c r="D504" t="s">
        <v>17</v>
      </c>
      <c r="E504" t="s">
        <v>69</v>
      </c>
      <c r="F504" t="s">
        <v>67</v>
      </c>
      <c r="G504">
        <v>2</v>
      </c>
      <c r="H504" s="1">
        <v>8.99</v>
      </c>
      <c r="I504" s="1">
        <v>17.98</v>
      </c>
      <c r="J504">
        <v>3</v>
      </c>
      <c r="K504" t="str">
        <f>TEXT(tbl_RawSales[[#This Row],[Order Date]],"mmm")</f>
        <v>Sept</v>
      </c>
      <c r="L504">
        <f>MONTH(tbl_RawSales[[#This Row],[Order Date]])</f>
        <v>9</v>
      </c>
      <c r="M504" t="str">
        <f>TEXT(tbl_RawSales[[#This Row],[Order Date]],"ddd")</f>
        <v>Mon</v>
      </c>
      <c r="N504">
        <f>WEEKDAY(tbl_RawSales[[#This Row],[Order Date]],2)</f>
        <v>1</v>
      </c>
    </row>
    <row r="505" spans="1:14" x14ac:dyDescent="0.25">
      <c r="A505" t="s">
        <v>555</v>
      </c>
      <c r="B505" s="20">
        <v>45549</v>
      </c>
      <c r="C505" t="s">
        <v>32</v>
      </c>
      <c r="D505" t="s">
        <v>12</v>
      </c>
      <c r="E505" t="s">
        <v>50</v>
      </c>
      <c r="F505" t="s">
        <v>14</v>
      </c>
      <c r="G505">
        <v>1</v>
      </c>
      <c r="H505" s="1">
        <v>22.99</v>
      </c>
      <c r="I505" s="1">
        <v>22.99</v>
      </c>
      <c r="J505">
        <v>5</v>
      </c>
      <c r="K505" t="str">
        <f>TEXT(tbl_RawSales[[#This Row],[Order Date]],"mmm")</f>
        <v>Sept</v>
      </c>
      <c r="L505">
        <f>MONTH(tbl_RawSales[[#This Row],[Order Date]])</f>
        <v>9</v>
      </c>
      <c r="M505" t="str">
        <f>TEXT(tbl_RawSales[[#This Row],[Order Date]],"ddd")</f>
        <v>Sat</v>
      </c>
      <c r="N505">
        <f>WEEKDAY(tbl_RawSales[[#This Row],[Order Date]],2)</f>
        <v>6</v>
      </c>
    </row>
    <row r="506" spans="1:14" x14ac:dyDescent="0.25">
      <c r="A506" t="s">
        <v>556</v>
      </c>
      <c r="B506" s="20">
        <v>45606</v>
      </c>
      <c r="C506" t="s">
        <v>25</v>
      </c>
      <c r="D506" t="s">
        <v>12</v>
      </c>
      <c r="E506" t="s">
        <v>112</v>
      </c>
      <c r="F506" t="s">
        <v>19</v>
      </c>
      <c r="G506">
        <v>1</v>
      </c>
      <c r="H506" s="1">
        <v>5.99</v>
      </c>
      <c r="I506" s="1">
        <v>5.99</v>
      </c>
      <c r="J506">
        <v>4</v>
      </c>
      <c r="K506" t="str">
        <f>TEXT(tbl_RawSales[[#This Row],[Order Date]],"mmm")</f>
        <v>Nov</v>
      </c>
      <c r="L506">
        <f>MONTH(tbl_RawSales[[#This Row],[Order Date]])</f>
        <v>11</v>
      </c>
      <c r="M506" t="str">
        <f>TEXT(tbl_RawSales[[#This Row],[Order Date]],"ddd")</f>
        <v>Sun</v>
      </c>
      <c r="N506">
        <f>WEEKDAY(tbl_RawSales[[#This Row],[Order Date]],2)</f>
        <v>7</v>
      </c>
    </row>
    <row r="507" spans="1:14" x14ac:dyDescent="0.25">
      <c r="A507" t="s">
        <v>557</v>
      </c>
      <c r="B507" s="20">
        <v>45344</v>
      </c>
      <c r="C507" t="s">
        <v>34</v>
      </c>
      <c r="D507" t="s">
        <v>17</v>
      </c>
      <c r="E507" t="s">
        <v>142</v>
      </c>
      <c r="F507" t="s">
        <v>23</v>
      </c>
      <c r="G507">
        <v>1</v>
      </c>
      <c r="H507" s="1">
        <v>14.99</v>
      </c>
      <c r="I507" s="1">
        <v>14.99</v>
      </c>
      <c r="J507">
        <v>5</v>
      </c>
      <c r="K507" t="str">
        <f>TEXT(tbl_RawSales[[#This Row],[Order Date]],"mmm")</f>
        <v>Feb</v>
      </c>
      <c r="L507">
        <f>MONTH(tbl_RawSales[[#This Row],[Order Date]])</f>
        <v>2</v>
      </c>
      <c r="M507" t="str">
        <f>TEXT(tbl_RawSales[[#This Row],[Order Date]],"ddd")</f>
        <v>Thu</v>
      </c>
      <c r="N507">
        <f>WEEKDAY(tbl_RawSales[[#This Row],[Order Date]],2)</f>
        <v>4</v>
      </c>
    </row>
    <row r="508" spans="1:14" x14ac:dyDescent="0.25">
      <c r="A508" t="s">
        <v>558</v>
      </c>
      <c r="B508" s="20">
        <v>45311</v>
      </c>
      <c r="C508" t="s">
        <v>32</v>
      </c>
      <c r="D508" t="s">
        <v>12</v>
      </c>
      <c r="E508" t="s">
        <v>66</v>
      </c>
      <c r="F508" t="s">
        <v>67</v>
      </c>
      <c r="G508">
        <v>2</v>
      </c>
      <c r="H508" s="1">
        <v>7.99</v>
      </c>
      <c r="I508" s="1">
        <v>15.98</v>
      </c>
      <c r="J508">
        <v>4</v>
      </c>
      <c r="K508" t="str">
        <f>TEXT(tbl_RawSales[[#This Row],[Order Date]],"mmm")</f>
        <v>Jan</v>
      </c>
      <c r="L508">
        <f>MONTH(tbl_RawSales[[#This Row],[Order Date]])</f>
        <v>1</v>
      </c>
      <c r="M508" t="str">
        <f>TEXT(tbl_RawSales[[#This Row],[Order Date]],"ddd")</f>
        <v>Sat</v>
      </c>
      <c r="N508">
        <f>WEEKDAY(tbl_RawSales[[#This Row],[Order Date]],2)</f>
        <v>6</v>
      </c>
    </row>
    <row r="509" spans="1:14" x14ac:dyDescent="0.25">
      <c r="A509" t="s">
        <v>559</v>
      </c>
      <c r="B509" s="20">
        <v>45797</v>
      </c>
      <c r="C509" t="s">
        <v>34</v>
      </c>
      <c r="D509" t="s">
        <v>29</v>
      </c>
      <c r="E509" t="s">
        <v>26</v>
      </c>
      <c r="F509" t="s">
        <v>19</v>
      </c>
      <c r="G509">
        <v>2</v>
      </c>
      <c r="H509" s="1">
        <v>3.49</v>
      </c>
      <c r="I509" s="1">
        <v>6.98</v>
      </c>
      <c r="J509">
        <v>4</v>
      </c>
      <c r="K509" t="str">
        <f>TEXT(tbl_RawSales[[#This Row],[Order Date]],"mmm")</f>
        <v>May</v>
      </c>
      <c r="L509">
        <f>MONTH(tbl_RawSales[[#This Row],[Order Date]])</f>
        <v>5</v>
      </c>
      <c r="M509" t="str">
        <f>TEXT(tbl_RawSales[[#This Row],[Order Date]],"ddd")</f>
        <v>Tue</v>
      </c>
      <c r="N509">
        <f>WEEKDAY(tbl_RawSales[[#This Row],[Order Date]],2)</f>
        <v>2</v>
      </c>
    </row>
    <row r="510" spans="1:14" x14ac:dyDescent="0.25">
      <c r="A510" t="s">
        <v>560</v>
      </c>
      <c r="B510" s="20">
        <v>45882</v>
      </c>
      <c r="C510" t="s">
        <v>32</v>
      </c>
      <c r="D510" t="s">
        <v>12</v>
      </c>
      <c r="E510" t="s">
        <v>112</v>
      </c>
      <c r="F510" t="s">
        <v>19</v>
      </c>
      <c r="G510">
        <v>2</v>
      </c>
      <c r="H510" s="1">
        <v>5.99</v>
      </c>
      <c r="I510" s="1">
        <v>11.98</v>
      </c>
      <c r="J510">
        <v>5</v>
      </c>
      <c r="K510" t="str">
        <f>TEXT(tbl_RawSales[[#This Row],[Order Date]],"mmm")</f>
        <v>Aug</v>
      </c>
      <c r="L510">
        <f>MONTH(tbl_RawSales[[#This Row],[Order Date]])</f>
        <v>8</v>
      </c>
      <c r="M510" t="str">
        <f>TEXT(tbl_RawSales[[#This Row],[Order Date]],"ddd")</f>
        <v>Wed</v>
      </c>
      <c r="N510">
        <f>WEEKDAY(tbl_RawSales[[#This Row],[Order Date]],2)</f>
        <v>3</v>
      </c>
    </row>
    <row r="511" spans="1:14" x14ac:dyDescent="0.25">
      <c r="A511" t="s">
        <v>561</v>
      </c>
      <c r="B511" s="20">
        <v>45584</v>
      </c>
      <c r="C511" t="s">
        <v>25</v>
      </c>
      <c r="D511" t="s">
        <v>12</v>
      </c>
      <c r="E511" t="s">
        <v>30</v>
      </c>
      <c r="F511" t="s">
        <v>19</v>
      </c>
      <c r="G511">
        <v>1</v>
      </c>
      <c r="H511" s="1">
        <v>7.99</v>
      </c>
      <c r="I511" s="1">
        <v>7.99</v>
      </c>
      <c r="J511">
        <v>4</v>
      </c>
      <c r="K511" t="str">
        <f>TEXT(tbl_RawSales[[#This Row],[Order Date]],"mmm")</f>
        <v>Oct</v>
      </c>
      <c r="L511">
        <f>MONTH(tbl_RawSales[[#This Row],[Order Date]])</f>
        <v>10</v>
      </c>
      <c r="M511" t="str">
        <f>TEXT(tbl_RawSales[[#This Row],[Order Date]],"ddd")</f>
        <v>Sat</v>
      </c>
      <c r="N511">
        <f>WEEKDAY(tbl_RawSales[[#This Row],[Order Date]],2)</f>
        <v>6</v>
      </c>
    </row>
    <row r="512" spans="1:14" x14ac:dyDescent="0.25">
      <c r="A512" t="s">
        <v>562</v>
      </c>
      <c r="B512" s="20">
        <v>45612</v>
      </c>
      <c r="C512" t="s">
        <v>45</v>
      </c>
      <c r="D512" t="s">
        <v>17</v>
      </c>
      <c r="E512" t="s">
        <v>39</v>
      </c>
      <c r="F512" t="s">
        <v>14</v>
      </c>
      <c r="G512">
        <v>2</v>
      </c>
      <c r="H512" s="1">
        <v>24.99</v>
      </c>
      <c r="I512" s="1">
        <v>49.98</v>
      </c>
      <c r="J512">
        <v>3</v>
      </c>
      <c r="K512" t="str">
        <f>TEXT(tbl_RawSales[[#This Row],[Order Date]],"mmm")</f>
        <v>Nov</v>
      </c>
      <c r="L512">
        <f>MONTH(tbl_RawSales[[#This Row],[Order Date]])</f>
        <v>11</v>
      </c>
      <c r="M512" t="str">
        <f>TEXT(tbl_RawSales[[#This Row],[Order Date]],"ddd")</f>
        <v>Sat</v>
      </c>
      <c r="N512">
        <f>WEEKDAY(tbl_RawSales[[#This Row],[Order Date]],2)</f>
        <v>6</v>
      </c>
    </row>
    <row r="513" spans="1:14" x14ac:dyDescent="0.25">
      <c r="A513" t="s">
        <v>563</v>
      </c>
      <c r="B513" s="20">
        <v>45424</v>
      </c>
      <c r="C513" t="s">
        <v>28</v>
      </c>
      <c r="D513" t="s">
        <v>17</v>
      </c>
      <c r="E513" t="s">
        <v>46</v>
      </c>
      <c r="F513" t="s">
        <v>14</v>
      </c>
      <c r="G513">
        <v>2</v>
      </c>
      <c r="H513" s="1">
        <v>32.99</v>
      </c>
      <c r="I513" s="1">
        <v>65.98</v>
      </c>
      <c r="J513">
        <v>4</v>
      </c>
      <c r="K513" t="str">
        <f>TEXT(tbl_RawSales[[#This Row],[Order Date]],"mmm")</f>
        <v>May</v>
      </c>
      <c r="L513">
        <f>MONTH(tbl_RawSales[[#This Row],[Order Date]])</f>
        <v>5</v>
      </c>
      <c r="M513" t="str">
        <f>TEXT(tbl_RawSales[[#This Row],[Order Date]],"ddd")</f>
        <v>Sun</v>
      </c>
      <c r="N513">
        <f>WEEKDAY(tbl_RawSales[[#This Row],[Order Date]],2)</f>
        <v>7</v>
      </c>
    </row>
    <row r="514" spans="1:14" x14ac:dyDescent="0.25">
      <c r="A514" t="s">
        <v>564</v>
      </c>
      <c r="B514" s="20">
        <v>45644</v>
      </c>
      <c r="C514" t="s">
        <v>34</v>
      </c>
      <c r="D514" t="s">
        <v>17</v>
      </c>
      <c r="E514" t="s">
        <v>79</v>
      </c>
      <c r="F514" t="s">
        <v>67</v>
      </c>
      <c r="G514">
        <v>4</v>
      </c>
      <c r="H514" s="1">
        <v>10.99</v>
      </c>
      <c r="I514" s="1">
        <v>43.96</v>
      </c>
      <c r="J514">
        <v>5</v>
      </c>
      <c r="K514" t="str">
        <f>TEXT(tbl_RawSales[[#This Row],[Order Date]],"mmm")</f>
        <v>Dec</v>
      </c>
      <c r="L514">
        <f>MONTH(tbl_RawSales[[#This Row],[Order Date]])</f>
        <v>12</v>
      </c>
      <c r="M514" t="str">
        <f>TEXT(tbl_RawSales[[#This Row],[Order Date]],"ddd")</f>
        <v>Wed</v>
      </c>
      <c r="N514">
        <f>WEEKDAY(tbl_RawSales[[#This Row],[Order Date]],2)</f>
        <v>3</v>
      </c>
    </row>
    <row r="515" spans="1:14" x14ac:dyDescent="0.25">
      <c r="A515" t="s">
        <v>565</v>
      </c>
      <c r="B515" s="20">
        <v>45508</v>
      </c>
      <c r="C515" t="s">
        <v>45</v>
      </c>
      <c r="D515" t="s">
        <v>29</v>
      </c>
      <c r="E515" t="s">
        <v>46</v>
      </c>
      <c r="F515" t="s">
        <v>14</v>
      </c>
      <c r="G515">
        <v>1</v>
      </c>
      <c r="H515" s="1">
        <v>32.99</v>
      </c>
      <c r="I515" s="1">
        <v>32.99</v>
      </c>
      <c r="J515">
        <v>5</v>
      </c>
      <c r="K515" t="str">
        <f>TEXT(tbl_RawSales[[#This Row],[Order Date]],"mmm")</f>
        <v>Aug</v>
      </c>
      <c r="L515">
        <f>MONTH(tbl_RawSales[[#This Row],[Order Date]])</f>
        <v>8</v>
      </c>
      <c r="M515" t="str">
        <f>TEXT(tbl_RawSales[[#This Row],[Order Date]],"ddd")</f>
        <v>Sun</v>
      </c>
      <c r="N515">
        <f>WEEKDAY(tbl_RawSales[[#This Row],[Order Date]],2)</f>
        <v>7</v>
      </c>
    </row>
    <row r="516" spans="1:14" x14ac:dyDescent="0.25">
      <c r="A516" t="s">
        <v>566</v>
      </c>
      <c r="B516" s="20">
        <v>45742</v>
      </c>
      <c r="C516" t="s">
        <v>34</v>
      </c>
      <c r="D516" t="s">
        <v>12</v>
      </c>
      <c r="E516" t="s">
        <v>55</v>
      </c>
      <c r="F516" t="s">
        <v>23</v>
      </c>
      <c r="G516">
        <v>1</v>
      </c>
      <c r="H516" s="1">
        <v>10.99</v>
      </c>
      <c r="I516" s="1">
        <v>10.99</v>
      </c>
      <c r="J516">
        <v>4</v>
      </c>
      <c r="K516" t="str">
        <f>TEXT(tbl_RawSales[[#This Row],[Order Date]],"mmm")</f>
        <v>Mar</v>
      </c>
      <c r="L516">
        <f>MONTH(tbl_RawSales[[#This Row],[Order Date]])</f>
        <v>3</v>
      </c>
      <c r="M516" t="str">
        <f>TEXT(tbl_RawSales[[#This Row],[Order Date]],"ddd")</f>
        <v>Wed</v>
      </c>
      <c r="N516">
        <f>WEEKDAY(tbl_RawSales[[#This Row],[Order Date]],2)</f>
        <v>3</v>
      </c>
    </row>
    <row r="517" spans="1:14" x14ac:dyDescent="0.25">
      <c r="A517" t="s">
        <v>567</v>
      </c>
      <c r="B517" s="20">
        <v>45417</v>
      </c>
      <c r="C517" t="s">
        <v>32</v>
      </c>
      <c r="D517" t="s">
        <v>29</v>
      </c>
      <c r="E517" t="s">
        <v>74</v>
      </c>
      <c r="F517" t="s">
        <v>14</v>
      </c>
      <c r="G517">
        <v>1</v>
      </c>
      <c r="H517" s="1">
        <v>14.99</v>
      </c>
      <c r="I517" s="1">
        <v>14.99</v>
      </c>
      <c r="J517">
        <v>2</v>
      </c>
      <c r="K517" t="str">
        <f>TEXT(tbl_RawSales[[#This Row],[Order Date]],"mmm")</f>
        <v>May</v>
      </c>
      <c r="L517">
        <f>MONTH(tbl_RawSales[[#This Row],[Order Date]])</f>
        <v>5</v>
      </c>
      <c r="M517" t="str">
        <f>TEXT(tbl_RawSales[[#This Row],[Order Date]],"ddd")</f>
        <v>Sun</v>
      </c>
      <c r="N517">
        <f>WEEKDAY(tbl_RawSales[[#This Row],[Order Date]],2)</f>
        <v>7</v>
      </c>
    </row>
    <row r="518" spans="1:14" x14ac:dyDescent="0.25">
      <c r="A518" t="s">
        <v>568</v>
      </c>
      <c r="B518" s="20">
        <v>45373</v>
      </c>
      <c r="C518" t="s">
        <v>11</v>
      </c>
      <c r="D518" t="s">
        <v>17</v>
      </c>
      <c r="E518" t="s">
        <v>142</v>
      </c>
      <c r="F518" t="s">
        <v>23</v>
      </c>
      <c r="G518">
        <v>1</v>
      </c>
      <c r="H518" s="1">
        <v>14.99</v>
      </c>
      <c r="I518" s="1">
        <v>14.99</v>
      </c>
      <c r="J518">
        <v>4</v>
      </c>
      <c r="K518" t="str">
        <f>TEXT(tbl_RawSales[[#This Row],[Order Date]],"mmm")</f>
        <v>Mar</v>
      </c>
      <c r="L518">
        <f>MONTH(tbl_RawSales[[#This Row],[Order Date]])</f>
        <v>3</v>
      </c>
      <c r="M518" t="str">
        <f>TEXT(tbl_RawSales[[#This Row],[Order Date]],"ddd")</f>
        <v>Fri</v>
      </c>
      <c r="N518">
        <f>WEEKDAY(tbl_RawSales[[#This Row],[Order Date]],2)</f>
        <v>5</v>
      </c>
    </row>
    <row r="519" spans="1:14" x14ac:dyDescent="0.25">
      <c r="A519" t="s">
        <v>569</v>
      </c>
      <c r="B519" s="20">
        <v>45781</v>
      </c>
      <c r="C519" t="s">
        <v>34</v>
      </c>
      <c r="D519" t="s">
        <v>29</v>
      </c>
      <c r="E519" t="s">
        <v>36</v>
      </c>
      <c r="F519" t="s">
        <v>14</v>
      </c>
      <c r="G519">
        <v>1</v>
      </c>
      <c r="H519" s="1">
        <v>16.989999999999998</v>
      </c>
      <c r="I519" s="1">
        <v>16.989999999999998</v>
      </c>
      <c r="J519">
        <v>2</v>
      </c>
      <c r="K519" t="str">
        <f>TEXT(tbl_RawSales[[#This Row],[Order Date]],"mmm")</f>
        <v>May</v>
      </c>
      <c r="L519">
        <f>MONTH(tbl_RawSales[[#This Row],[Order Date]])</f>
        <v>5</v>
      </c>
      <c r="M519" t="str">
        <f>TEXT(tbl_RawSales[[#This Row],[Order Date]],"ddd")</f>
        <v>Sun</v>
      </c>
      <c r="N519">
        <f>WEEKDAY(tbl_RawSales[[#This Row],[Order Date]],2)</f>
        <v>7</v>
      </c>
    </row>
    <row r="520" spans="1:14" x14ac:dyDescent="0.25">
      <c r="A520" t="s">
        <v>570</v>
      </c>
      <c r="B520" s="20">
        <v>45503</v>
      </c>
      <c r="C520" t="s">
        <v>28</v>
      </c>
      <c r="D520" t="s">
        <v>17</v>
      </c>
      <c r="E520" t="s">
        <v>43</v>
      </c>
      <c r="F520" t="s">
        <v>23</v>
      </c>
      <c r="G520">
        <v>3</v>
      </c>
      <c r="H520" s="1">
        <v>11.99</v>
      </c>
      <c r="I520" s="1">
        <v>35.97</v>
      </c>
      <c r="J520">
        <v>4</v>
      </c>
      <c r="K520" t="str">
        <f>TEXT(tbl_RawSales[[#This Row],[Order Date]],"mmm")</f>
        <v>Jul</v>
      </c>
      <c r="L520">
        <f>MONTH(tbl_RawSales[[#This Row],[Order Date]])</f>
        <v>7</v>
      </c>
      <c r="M520" t="str">
        <f>TEXT(tbl_RawSales[[#This Row],[Order Date]],"ddd")</f>
        <v>Tue</v>
      </c>
      <c r="N520">
        <f>WEEKDAY(tbl_RawSales[[#This Row],[Order Date]],2)</f>
        <v>2</v>
      </c>
    </row>
    <row r="521" spans="1:14" x14ac:dyDescent="0.25">
      <c r="A521" t="s">
        <v>571</v>
      </c>
      <c r="B521" s="20">
        <v>45487</v>
      </c>
      <c r="C521" t="s">
        <v>38</v>
      </c>
      <c r="D521" t="s">
        <v>12</v>
      </c>
      <c r="E521" t="s">
        <v>57</v>
      </c>
      <c r="F521" t="s">
        <v>14</v>
      </c>
      <c r="G521">
        <v>2</v>
      </c>
      <c r="H521" s="1">
        <v>15.99</v>
      </c>
      <c r="I521" s="1">
        <v>31.98</v>
      </c>
      <c r="J521">
        <v>3</v>
      </c>
      <c r="K521" t="str">
        <f>TEXT(tbl_RawSales[[#This Row],[Order Date]],"mmm")</f>
        <v>Jul</v>
      </c>
      <c r="L521">
        <f>MONTH(tbl_RawSales[[#This Row],[Order Date]])</f>
        <v>7</v>
      </c>
      <c r="M521" t="str">
        <f>TEXT(tbl_RawSales[[#This Row],[Order Date]],"ddd")</f>
        <v>Sun</v>
      </c>
      <c r="N521">
        <f>WEEKDAY(tbl_RawSales[[#This Row],[Order Date]],2)</f>
        <v>7</v>
      </c>
    </row>
    <row r="522" spans="1:14" x14ac:dyDescent="0.25">
      <c r="A522" t="s">
        <v>572</v>
      </c>
      <c r="B522" s="20">
        <v>45568</v>
      </c>
      <c r="C522" t="s">
        <v>11</v>
      </c>
      <c r="D522" t="s">
        <v>17</v>
      </c>
      <c r="E522" t="s">
        <v>62</v>
      </c>
      <c r="F522" t="s">
        <v>23</v>
      </c>
      <c r="G522">
        <v>1</v>
      </c>
      <c r="H522" s="1">
        <v>9.99</v>
      </c>
      <c r="I522" s="1">
        <v>9.99</v>
      </c>
      <c r="J522">
        <v>4</v>
      </c>
      <c r="K522" t="str">
        <f>TEXT(tbl_RawSales[[#This Row],[Order Date]],"mmm")</f>
        <v>Oct</v>
      </c>
      <c r="L522">
        <f>MONTH(tbl_RawSales[[#This Row],[Order Date]])</f>
        <v>10</v>
      </c>
      <c r="M522" t="str">
        <f>TEXT(tbl_RawSales[[#This Row],[Order Date]],"ddd")</f>
        <v>Thu</v>
      </c>
      <c r="N522">
        <f>WEEKDAY(tbl_RawSales[[#This Row],[Order Date]],2)</f>
        <v>4</v>
      </c>
    </row>
    <row r="523" spans="1:14" x14ac:dyDescent="0.25">
      <c r="A523" t="s">
        <v>573</v>
      </c>
      <c r="B523" s="20">
        <v>45490</v>
      </c>
      <c r="C523" t="s">
        <v>11</v>
      </c>
      <c r="D523" t="s">
        <v>29</v>
      </c>
      <c r="E523" t="s">
        <v>74</v>
      </c>
      <c r="F523" t="s">
        <v>14</v>
      </c>
      <c r="G523">
        <v>3</v>
      </c>
      <c r="H523" s="1">
        <v>14.99</v>
      </c>
      <c r="I523" s="1">
        <v>44.97</v>
      </c>
      <c r="J523">
        <v>4</v>
      </c>
      <c r="K523" t="str">
        <f>TEXT(tbl_RawSales[[#This Row],[Order Date]],"mmm")</f>
        <v>Jul</v>
      </c>
      <c r="L523">
        <f>MONTH(tbl_RawSales[[#This Row],[Order Date]])</f>
        <v>7</v>
      </c>
      <c r="M523" t="str">
        <f>TEXT(tbl_RawSales[[#This Row],[Order Date]],"ddd")</f>
        <v>Wed</v>
      </c>
      <c r="N523">
        <f>WEEKDAY(tbl_RawSales[[#This Row],[Order Date]],2)</f>
        <v>3</v>
      </c>
    </row>
    <row r="524" spans="1:14" x14ac:dyDescent="0.25">
      <c r="A524" t="s">
        <v>574</v>
      </c>
      <c r="B524" s="20">
        <v>45843</v>
      </c>
      <c r="C524" t="s">
        <v>32</v>
      </c>
      <c r="D524" t="s">
        <v>29</v>
      </c>
      <c r="E524" t="s">
        <v>66</v>
      </c>
      <c r="F524" t="s">
        <v>67</v>
      </c>
      <c r="G524">
        <v>1</v>
      </c>
      <c r="H524" s="1">
        <v>7.99</v>
      </c>
      <c r="I524" s="1">
        <v>7.99</v>
      </c>
      <c r="J524">
        <v>3</v>
      </c>
      <c r="K524" t="str">
        <f>TEXT(tbl_RawSales[[#This Row],[Order Date]],"mmm")</f>
        <v>Jul</v>
      </c>
      <c r="L524">
        <f>MONTH(tbl_RawSales[[#This Row],[Order Date]])</f>
        <v>7</v>
      </c>
      <c r="M524" t="str">
        <f>TEXT(tbl_RawSales[[#This Row],[Order Date]],"ddd")</f>
        <v>Sat</v>
      </c>
      <c r="N524">
        <f>WEEKDAY(tbl_RawSales[[#This Row],[Order Date]],2)</f>
        <v>6</v>
      </c>
    </row>
    <row r="525" spans="1:14" x14ac:dyDescent="0.25">
      <c r="A525" t="s">
        <v>575</v>
      </c>
      <c r="B525" s="20">
        <v>45325</v>
      </c>
      <c r="C525" t="s">
        <v>38</v>
      </c>
      <c r="D525" t="s">
        <v>17</v>
      </c>
      <c r="E525" t="s">
        <v>176</v>
      </c>
      <c r="F525" t="s">
        <v>67</v>
      </c>
      <c r="G525">
        <v>1</v>
      </c>
      <c r="H525" s="1">
        <v>11.99</v>
      </c>
      <c r="I525" s="1">
        <v>11.99</v>
      </c>
      <c r="J525">
        <v>4</v>
      </c>
      <c r="K525" t="str">
        <f>TEXT(tbl_RawSales[[#This Row],[Order Date]],"mmm")</f>
        <v>Feb</v>
      </c>
      <c r="L525">
        <f>MONTH(tbl_RawSales[[#This Row],[Order Date]])</f>
        <v>2</v>
      </c>
      <c r="M525" t="str">
        <f>TEXT(tbl_RawSales[[#This Row],[Order Date]],"ddd")</f>
        <v>Sat</v>
      </c>
      <c r="N525">
        <f>WEEKDAY(tbl_RawSales[[#This Row],[Order Date]],2)</f>
        <v>6</v>
      </c>
    </row>
    <row r="526" spans="1:14" x14ac:dyDescent="0.25">
      <c r="A526" t="s">
        <v>576</v>
      </c>
      <c r="B526" s="20">
        <v>45430</v>
      </c>
      <c r="C526" t="s">
        <v>32</v>
      </c>
      <c r="D526" t="s">
        <v>17</v>
      </c>
      <c r="E526" t="s">
        <v>36</v>
      </c>
      <c r="F526" t="s">
        <v>14</v>
      </c>
      <c r="G526">
        <v>3</v>
      </c>
      <c r="H526" s="1">
        <v>16.989999999999998</v>
      </c>
      <c r="I526" s="1">
        <v>50.97</v>
      </c>
      <c r="J526">
        <v>4</v>
      </c>
      <c r="K526" t="str">
        <f>TEXT(tbl_RawSales[[#This Row],[Order Date]],"mmm")</f>
        <v>May</v>
      </c>
      <c r="L526">
        <f>MONTH(tbl_RawSales[[#This Row],[Order Date]])</f>
        <v>5</v>
      </c>
      <c r="M526" t="str">
        <f>TEXT(tbl_RawSales[[#This Row],[Order Date]],"ddd")</f>
        <v>Sat</v>
      </c>
      <c r="N526">
        <f>WEEKDAY(tbl_RawSales[[#This Row],[Order Date]],2)</f>
        <v>6</v>
      </c>
    </row>
    <row r="527" spans="1:14" x14ac:dyDescent="0.25">
      <c r="A527" t="s">
        <v>577</v>
      </c>
      <c r="B527" s="20">
        <v>45717</v>
      </c>
      <c r="C527" t="s">
        <v>28</v>
      </c>
      <c r="D527" t="s">
        <v>12</v>
      </c>
      <c r="E527" t="s">
        <v>46</v>
      </c>
      <c r="F527" t="s">
        <v>14</v>
      </c>
      <c r="G527">
        <v>1</v>
      </c>
      <c r="H527" s="1">
        <v>32.99</v>
      </c>
      <c r="I527" s="1">
        <v>32.99</v>
      </c>
      <c r="J527">
        <v>3</v>
      </c>
      <c r="K527" t="str">
        <f>TEXT(tbl_RawSales[[#This Row],[Order Date]],"mmm")</f>
        <v>Mar</v>
      </c>
      <c r="L527">
        <f>MONTH(tbl_RawSales[[#This Row],[Order Date]])</f>
        <v>3</v>
      </c>
      <c r="M527" t="str">
        <f>TEXT(tbl_RawSales[[#This Row],[Order Date]],"ddd")</f>
        <v>Sat</v>
      </c>
      <c r="N527">
        <f>WEEKDAY(tbl_RawSales[[#This Row],[Order Date]],2)</f>
        <v>6</v>
      </c>
    </row>
    <row r="528" spans="1:14" x14ac:dyDescent="0.25">
      <c r="A528" t="s">
        <v>578</v>
      </c>
      <c r="B528" s="20">
        <v>45536</v>
      </c>
      <c r="C528" t="s">
        <v>32</v>
      </c>
      <c r="D528" t="s">
        <v>12</v>
      </c>
      <c r="E528" t="s">
        <v>83</v>
      </c>
      <c r="F528" t="s">
        <v>14</v>
      </c>
      <c r="G528">
        <v>2</v>
      </c>
      <c r="H528" s="1">
        <v>17.989999999999998</v>
      </c>
      <c r="I528" s="1">
        <v>35.979999999999997</v>
      </c>
      <c r="J528">
        <v>3</v>
      </c>
      <c r="K528" t="str">
        <f>TEXT(tbl_RawSales[[#This Row],[Order Date]],"mmm")</f>
        <v>Sept</v>
      </c>
      <c r="L528">
        <f>MONTH(tbl_RawSales[[#This Row],[Order Date]])</f>
        <v>9</v>
      </c>
      <c r="M528" t="str">
        <f>TEXT(tbl_RawSales[[#This Row],[Order Date]],"ddd")</f>
        <v>Sun</v>
      </c>
      <c r="N528">
        <f>WEEKDAY(tbl_RawSales[[#This Row],[Order Date]],2)</f>
        <v>7</v>
      </c>
    </row>
    <row r="529" spans="1:14" x14ac:dyDescent="0.25">
      <c r="A529" t="s">
        <v>579</v>
      </c>
      <c r="B529" s="20">
        <v>45552</v>
      </c>
      <c r="C529" t="s">
        <v>16</v>
      </c>
      <c r="D529" t="s">
        <v>29</v>
      </c>
      <c r="E529" t="s">
        <v>50</v>
      </c>
      <c r="F529" t="s">
        <v>14</v>
      </c>
      <c r="G529">
        <v>1</v>
      </c>
      <c r="H529" s="1">
        <v>22.99</v>
      </c>
      <c r="I529" s="1">
        <v>22.99</v>
      </c>
      <c r="J529">
        <v>1</v>
      </c>
      <c r="K529" t="str">
        <f>TEXT(tbl_RawSales[[#This Row],[Order Date]],"mmm")</f>
        <v>Sept</v>
      </c>
      <c r="L529">
        <f>MONTH(tbl_RawSales[[#This Row],[Order Date]])</f>
        <v>9</v>
      </c>
      <c r="M529" t="str">
        <f>TEXT(tbl_RawSales[[#This Row],[Order Date]],"ddd")</f>
        <v>Tue</v>
      </c>
      <c r="N529">
        <f>WEEKDAY(tbl_RawSales[[#This Row],[Order Date]],2)</f>
        <v>2</v>
      </c>
    </row>
    <row r="530" spans="1:14" x14ac:dyDescent="0.25">
      <c r="A530" t="s">
        <v>580</v>
      </c>
      <c r="B530" s="20">
        <v>45362</v>
      </c>
      <c r="C530" t="s">
        <v>16</v>
      </c>
      <c r="D530" t="s">
        <v>29</v>
      </c>
      <c r="E530" t="s">
        <v>50</v>
      </c>
      <c r="F530" t="s">
        <v>14</v>
      </c>
      <c r="G530">
        <v>4</v>
      </c>
      <c r="H530" s="1">
        <v>22.99</v>
      </c>
      <c r="I530" s="1">
        <v>91.96</v>
      </c>
      <c r="J530">
        <v>4</v>
      </c>
      <c r="K530" t="str">
        <f>TEXT(tbl_RawSales[[#This Row],[Order Date]],"mmm")</f>
        <v>Mar</v>
      </c>
      <c r="L530">
        <f>MONTH(tbl_RawSales[[#This Row],[Order Date]])</f>
        <v>3</v>
      </c>
      <c r="M530" t="str">
        <f>TEXT(tbl_RawSales[[#This Row],[Order Date]],"ddd")</f>
        <v>Mon</v>
      </c>
      <c r="N530">
        <f>WEEKDAY(tbl_RawSales[[#This Row],[Order Date]],2)</f>
        <v>1</v>
      </c>
    </row>
    <row r="531" spans="1:14" x14ac:dyDescent="0.25">
      <c r="A531" t="s">
        <v>581</v>
      </c>
      <c r="B531" s="20">
        <v>45710</v>
      </c>
      <c r="C531" t="s">
        <v>16</v>
      </c>
      <c r="D531" t="s">
        <v>17</v>
      </c>
      <c r="E531" t="s">
        <v>57</v>
      </c>
      <c r="F531" t="s">
        <v>14</v>
      </c>
      <c r="G531">
        <v>1</v>
      </c>
      <c r="H531" s="1">
        <v>15.99</v>
      </c>
      <c r="I531" s="1">
        <v>15.99</v>
      </c>
      <c r="J531">
        <v>5</v>
      </c>
      <c r="K531" t="str">
        <f>TEXT(tbl_RawSales[[#This Row],[Order Date]],"mmm")</f>
        <v>Feb</v>
      </c>
      <c r="L531">
        <f>MONTH(tbl_RawSales[[#This Row],[Order Date]])</f>
        <v>2</v>
      </c>
      <c r="M531" t="str">
        <f>TEXT(tbl_RawSales[[#This Row],[Order Date]],"ddd")</f>
        <v>Sat</v>
      </c>
      <c r="N531">
        <f>WEEKDAY(tbl_RawSales[[#This Row],[Order Date]],2)</f>
        <v>6</v>
      </c>
    </row>
    <row r="532" spans="1:14" x14ac:dyDescent="0.25">
      <c r="A532" t="s">
        <v>582</v>
      </c>
      <c r="B532" s="20">
        <v>46018</v>
      </c>
      <c r="C532" t="s">
        <v>11</v>
      </c>
      <c r="D532" t="s">
        <v>29</v>
      </c>
      <c r="E532" t="s">
        <v>39</v>
      </c>
      <c r="F532" t="s">
        <v>14</v>
      </c>
      <c r="G532">
        <v>1</v>
      </c>
      <c r="H532" s="1">
        <v>24.99</v>
      </c>
      <c r="I532" s="1">
        <v>24.99</v>
      </c>
      <c r="J532">
        <v>4</v>
      </c>
      <c r="K532" t="str">
        <f>TEXT(tbl_RawSales[[#This Row],[Order Date]],"mmm")</f>
        <v>Dec</v>
      </c>
      <c r="L532">
        <f>MONTH(tbl_RawSales[[#This Row],[Order Date]])</f>
        <v>12</v>
      </c>
      <c r="M532" t="str">
        <f>TEXT(tbl_RawSales[[#This Row],[Order Date]],"ddd")</f>
        <v>Sat</v>
      </c>
      <c r="N532">
        <f>WEEKDAY(tbl_RawSales[[#This Row],[Order Date]],2)</f>
        <v>6</v>
      </c>
    </row>
    <row r="533" spans="1:14" x14ac:dyDescent="0.25">
      <c r="A533" t="s">
        <v>583</v>
      </c>
      <c r="B533" s="20">
        <v>45695</v>
      </c>
      <c r="C533" t="s">
        <v>97</v>
      </c>
      <c r="D533" t="s">
        <v>29</v>
      </c>
      <c r="E533" t="s">
        <v>52</v>
      </c>
      <c r="F533" t="s">
        <v>19</v>
      </c>
      <c r="G533">
        <v>1</v>
      </c>
      <c r="H533" s="1">
        <v>6.99</v>
      </c>
      <c r="I533" s="1">
        <v>6.99</v>
      </c>
      <c r="J533">
        <v>4</v>
      </c>
      <c r="K533" t="str">
        <f>TEXT(tbl_RawSales[[#This Row],[Order Date]],"mmm")</f>
        <v>Feb</v>
      </c>
      <c r="L533">
        <f>MONTH(tbl_RawSales[[#This Row],[Order Date]])</f>
        <v>2</v>
      </c>
      <c r="M533" t="str">
        <f>TEXT(tbl_RawSales[[#This Row],[Order Date]],"ddd")</f>
        <v>Fri</v>
      </c>
      <c r="N533">
        <f>WEEKDAY(tbl_RawSales[[#This Row],[Order Date]],2)</f>
        <v>5</v>
      </c>
    </row>
    <row r="534" spans="1:14" x14ac:dyDescent="0.25">
      <c r="A534" t="s">
        <v>584</v>
      </c>
      <c r="B534" s="20">
        <v>45330</v>
      </c>
      <c r="C534" t="s">
        <v>32</v>
      </c>
      <c r="D534" t="s">
        <v>12</v>
      </c>
      <c r="E534" t="s">
        <v>112</v>
      </c>
      <c r="F534" t="s">
        <v>19</v>
      </c>
      <c r="G534">
        <v>1</v>
      </c>
      <c r="H534" s="1">
        <v>5.99</v>
      </c>
      <c r="I534" s="1">
        <v>5.99</v>
      </c>
      <c r="J534">
        <v>3</v>
      </c>
      <c r="K534" t="str">
        <f>TEXT(tbl_RawSales[[#This Row],[Order Date]],"mmm")</f>
        <v>Feb</v>
      </c>
      <c r="L534">
        <f>MONTH(tbl_RawSales[[#This Row],[Order Date]])</f>
        <v>2</v>
      </c>
      <c r="M534" t="str">
        <f>TEXT(tbl_RawSales[[#This Row],[Order Date]],"ddd")</f>
        <v>Thu</v>
      </c>
      <c r="N534">
        <f>WEEKDAY(tbl_RawSales[[#This Row],[Order Date]],2)</f>
        <v>4</v>
      </c>
    </row>
    <row r="535" spans="1:14" x14ac:dyDescent="0.25">
      <c r="A535" t="s">
        <v>585</v>
      </c>
      <c r="B535" s="20">
        <v>45858</v>
      </c>
      <c r="C535" t="s">
        <v>28</v>
      </c>
      <c r="D535" t="s">
        <v>17</v>
      </c>
      <c r="E535" t="s">
        <v>112</v>
      </c>
      <c r="F535" t="s">
        <v>19</v>
      </c>
      <c r="G535">
        <v>2</v>
      </c>
      <c r="H535" s="1">
        <v>5.99</v>
      </c>
      <c r="I535" s="1">
        <v>11.98</v>
      </c>
      <c r="J535">
        <v>5</v>
      </c>
      <c r="K535" t="str">
        <f>TEXT(tbl_RawSales[[#This Row],[Order Date]],"mmm")</f>
        <v>Jul</v>
      </c>
      <c r="L535">
        <f>MONTH(tbl_RawSales[[#This Row],[Order Date]])</f>
        <v>7</v>
      </c>
      <c r="M535" t="str">
        <f>TEXT(tbl_RawSales[[#This Row],[Order Date]],"ddd")</f>
        <v>Sun</v>
      </c>
      <c r="N535">
        <f>WEEKDAY(tbl_RawSales[[#This Row],[Order Date]],2)</f>
        <v>7</v>
      </c>
    </row>
    <row r="536" spans="1:14" x14ac:dyDescent="0.25">
      <c r="A536" t="s">
        <v>586</v>
      </c>
      <c r="B536" s="20">
        <v>45468</v>
      </c>
      <c r="C536" t="s">
        <v>11</v>
      </c>
      <c r="D536" t="s">
        <v>29</v>
      </c>
      <c r="E536" t="s">
        <v>30</v>
      </c>
      <c r="F536" t="s">
        <v>19</v>
      </c>
      <c r="G536">
        <v>1</v>
      </c>
      <c r="H536" s="1">
        <v>7.99</v>
      </c>
      <c r="I536" s="1">
        <v>7.99</v>
      </c>
      <c r="J536">
        <v>1</v>
      </c>
      <c r="K536" t="str">
        <f>TEXT(tbl_RawSales[[#This Row],[Order Date]],"mmm")</f>
        <v>Jun</v>
      </c>
      <c r="L536">
        <f>MONTH(tbl_RawSales[[#This Row],[Order Date]])</f>
        <v>6</v>
      </c>
      <c r="M536" t="str">
        <f>TEXT(tbl_RawSales[[#This Row],[Order Date]],"ddd")</f>
        <v>Tue</v>
      </c>
      <c r="N536">
        <f>WEEKDAY(tbl_RawSales[[#This Row],[Order Date]],2)</f>
        <v>2</v>
      </c>
    </row>
    <row r="537" spans="1:14" x14ac:dyDescent="0.25">
      <c r="A537" t="s">
        <v>587</v>
      </c>
      <c r="B537" s="20">
        <v>45440</v>
      </c>
      <c r="C537" t="s">
        <v>16</v>
      </c>
      <c r="D537" t="s">
        <v>12</v>
      </c>
      <c r="E537" t="s">
        <v>50</v>
      </c>
      <c r="F537" t="s">
        <v>14</v>
      </c>
      <c r="G537">
        <v>3</v>
      </c>
      <c r="H537" s="1">
        <v>22.99</v>
      </c>
      <c r="I537" s="1">
        <v>68.97</v>
      </c>
      <c r="J537">
        <v>5</v>
      </c>
      <c r="K537" t="str">
        <f>TEXT(tbl_RawSales[[#This Row],[Order Date]],"mmm")</f>
        <v>May</v>
      </c>
      <c r="L537">
        <f>MONTH(tbl_RawSales[[#This Row],[Order Date]])</f>
        <v>5</v>
      </c>
      <c r="M537" t="str">
        <f>TEXT(tbl_RawSales[[#This Row],[Order Date]],"ddd")</f>
        <v>Tue</v>
      </c>
      <c r="N537">
        <f>WEEKDAY(tbl_RawSales[[#This Row],[Order Date]],2)</f>
        <v>2</v>
      </c>
    </row>
    <row r="538" spans="1:14" x14ac:dyDescent="0.25">
      <c r="A538" t="s">
        <v>588</v>
      </c>
      <c r="B538" s="20">
        <v>45317</v>
      </c>
      <c r="C538" t="s">
        <v>38</v>
      </c>
      <c r="D538" t="s">
        <v>29</v>
      </c>
      <c r="E538" t="s">
        <v>50</v>
      </c>
      <c r="F538" t="s">
        <v>14</v>
      </c>
      <c r="G538">
        <v>1</v>
      </c>
      <c r="H538" s="1">
        <v>22.99</v>
      </c>
      <c r="I538" s="1">
        <v>22.99</v>
      </c>
      <c r="J538">
        <v>4</v>
      </c>
      <c r="K538" t="str">
        <f>TEXT(tbl_RawSales[[#This Row],[Order Date]],"mmm")</f>
        <v>Jan</v>
      </c>
      <c r="L538">
        <f>MONTH(tbl_RawSales[[#This Row],[Order Date]])</f>
        <v>1</v>
      </c>
      <c r="M538" t="str">
        <f>TEXT(tbl_RawSales[[#This Row],[Order Date]],"ddd")</f>
        <v>Fri</v>
      </c>
      <c r="N538">
        <f>WEEKDAY(tbl_RawSales[[#This Row],[Order Date]],2)</f>
        <v>5</v>
      </c>
    </row>
    <row r="539" spans="1:14" x14ac:dyDescent="0.25">
      <c r="A539" t="s">
        <v>589</v>
      </c>
      <c r="B539" s="20">
        <v>45715</v>
      </c>
      <c r="C539" t="s">
        <v>34</v>
      </c>
      <c r="D539" t="s">
        <v>17</v>
      </c>
      <c r="E539" t="s">
        <v>36</v>
      </c>
      <c r="F539" t="s">
        <v>14</v>
      </c>
      <c r="G539">
        <v>2</v>
      </c>
      <c r="H539" s="1">
        <v>16.989999999999998</v>
      </c>
      <c r="I539" s="1">
        <v>33.979999999999997</v>
      </c>
      <c r="J539">
        <v>5</v>
      </c>
      <c r="K539" t="str">
        <f>TEXT(tbl_RawSales[[#This Row],[Order Date]],"mmm")</f>
        <v>Feb</v>
      </c>
      <c r="L539">
        <f>MONTH(tbl_RawSales[[#This Row],[Order Date]])</f>
        <v>2</v>
      </c>
      <c r="M539" t="str">
        <f>TEXT(tbl_RawSales[[#This Row],[Order Date]],"ddd")</f>
        <v>Thu</v>
      </c>
      <c r="N539">
        <f>WEEKDAY(tbl_RawSales[[#This Row],[Order Date]],2)</f>
        <v>4</v>
      </c>
    </row>
    <row r="540" spans="1:14" x14ac:dyDescent="0.25">
      <c r="A540" t="s">
        <v>590</v>
      </c>
      <c r="B540" s="20">
        <v>45767</v>
      </c>
      <c r="C540" t="s">
        <v>45</v>
      </c>
      <c r="D540" t="s">
        <v>12</v>
      </c>
      <c r="E540" t="s">
        <v>119</v>
      </c>
      <c r="F540" t="s">
        <v>19</v>
      </c>
      <c r="G540">
        <v>1</v>
      </c>
      <c r="H540" s="1">
        <v>4.99</v>
      </c>
      <c r="I540" s="1">
        <v>4.99</v>
      </c>
      <c r="J540">
        <v>4</v>
      </c>
      <c r="K540" t="str">
        <f>TEXT(tbl_RawSales[[#This Row],[Order Date]],"mmm")</f>
        <v>Apr</v>
      </c>
      <c r="L540">
        <f>MONTH(tbl_RawSales[[#This Row],[Order Date]])</f>
        <v>4</v>
      </c>
      <c r="M540" t="str">
        <f>TEXT(tbl_RawSales[[#This Row],[Order Date]],"ddd")</f>
        <v>Sun</v>
      </c>
      <c r="N540">
        <f>WEEKDAY(tbl_RawSales[[#This Row],[Order Date]],2)</f>
        <v>7</v>
      </c>
    </row>
    <row r="541" spans="1:14" x14ac:dyDescent="0.25">
      <c r="A541" t="s">
        <v>591</v>
      </c>
      <c r="B541" s="20">
        <v>45490</v>
      </c>
      <c r="C541" t="s">
        <v>21</v>
      </c>
      <c r="D541" t="s">
        <v>12</v>
      </c>
      <c r="E541" t="s">
        <v>30</v>
      </c>
      <c r="F541" t="s">
        <v>19</v>
      </c>
      <c r="G541">
        <v>3</v>
      </c>
      <c r="H541" s="1">
        <v>7.99</v>
      </c>
      <c r="I541" s="1">
        <v>23.97</v>
      </c>
      <c r="J541">
        <v>3</v>
      </c>
      <c r="K541" t="str">
        <f>TEXT(tbl_RawSales[[#This Row],[Order Date]],"mmm")</f>
        <v>Jul</v>
      </c>
      <c r="L541">
        <f>MONTH(tbl_RawSales[[#This Row],[Order Date]])</f>
        <v>7</v>
      </c>
      <c r="M541" t="str">
        <f>TEXT(tbl_RawSales[[#This Row],[Order Date]],"ddd")</f>
        <v>Wed</v>
      </c>
      <c r="N541">
        <f>WEEKDAY(tbl_RawSales[[#This Row],[Order Date]],2)</f>
        <v>3</v>
      </c>
    </row>
    <row r="542" spans="1:14" x14ac:dyDescent="0.25">
      <c r="A542" t="s">
        <v>592</v>
      </c>
      <c r="B542" s="20">
        <v>45298</v>
      </c>
      <c r="C542" t="s">
        <v>21</v>
      </c>
      <c r="D542" t="s">
        <v>29</v>
      </c>
      <c r="E542" t="s">
        <v>46</v>
      </c>
      <c r="F542" t="s">
        <v>14</v>
      </c>
      <c r="G542">
        <v>2</v>
      </c>
      <c r="H542" s="1">
        <v>32.99</v>
      </c>
      <c r="I542" s="1">
        <v>65.98</v>
      </c>
      <c r="J542">
        <v>2</v>
      </c>
      <c r="K542" t="str">
        <f>TEXT(tbl_RawSales[[#This Row],[Order Date]],"mmm")</f>
        <v>Jan</v>
      </c>
      <c r="L542">
        <f>MONTH(tbl_RawSales[[#This Row],[Order Date]])</f>
        <v>1</v>
      </c>
      <c r="M542" t="str">
        <f>TEXT(tbl_RawSales[[#This Row],[Order Date]],"ddd")</f>
        <v>Sun</v>
      </c>
      <c r="N542">
        <f>WEEKDAY(tbl_RawSales[[#This Row],[Order Date]],2)</f>
        <v>7</v>
      </c>
    </row>
    <row r="543" spans="1:14" x14ac:dyDescent="0.25">
      <c r="A543" t="s">
        <v>593</v>
      </c>
      <c r="B543" s="20">
        <v>45879</v>
      </c>
      <c r="C543" t="s">
        <v>25</v>
      </c>
      <c r="D543" t="s">
        <v>12</v>
      </c>
      <c r="E543" t="s">
        <v>39</v>
      </c>
      <c r="F543" t="s">
        <v>14</v>
      </c>
      <c r="G543">
        <v>2</v>
      </c>
      <c r="H543" s="1">
        <v>24.99</v>
      </c>
      <c r="I543" s="1">
        <v>49.98</v>
      </c>
      <c r="J543">
        <v>4</v>
      </c>
      <c r="K543" t="str">
        <f>TEXT(tbl_RawSales[[#This Row],[Order Date]],"mmm")</f>
        <v>Aug</v>
      </c>
      <c r="L543">
        <f>MONTH(tbl_RawSales[[#This Row],[Order Date]])</f>
        <v>8</v>
      </c>
      <c r="M543" t="str">
        <f>TEXT(tbl_RawSales[[#This Row],[Order Date]],"ddd")</f>
        <v>Sun</v>
      </c>
      <c r="N543">
        <f>WEEKDAY(tbl_RawSales[[#This Row],[Order Date]],2)</f>
        <v>7</v>
      </c>
    </row>
    <row r="544" spans="1:14" x14ac:dyDescent="0.25">
      <c r="A544" t="s">
        <v>594</v>
      </c>
      <c r="B544" s="20">
        <v>45979</v>
      </c>
      <c r="C544" t="s">
        <v>11</v>
      </c>
      <c r="D544" t="s">
        <v>17</v>
      </c>
      <c r="E544" t="s">
        <v>69</v>
      </c>
      <c r="F544" t="s">
        <v>67</v>
      </c>
      <c r="G544">
        <v>4</v>
      </c>
      <c r="H544" s="1">
        <v>8.99</v>
      </c>
      <c r="I544" s="1">
        <v>35.96</v>
      </c>
      <c r="J544">
        <v>5</v>
      </c>
      <c r="K544" t="str">
        <f>TEXT(tbl_RawSales[[#This Row],[Order Date]],"mmm")</f>
        <v>Nov</v>
      </c>
      <c r="L544">
        <f>MONTH(tbl_RawSales[[#This Row],[Order Date]])</f>
        <v>11</v>
      </c>
      <c r="M544" t="str">
        <f>TEXT(tbl_RawSales[[#This Row],[Order Date]],"ddd")</f>
        <v>Tue</v>
      </c>
      <c r="N544">
        <f>WEEKDAY(tbl_RawSales[[#This Row],[Order Date]],2)</f>
        <v>2</v>
      </c>
    </row>
    <row r="545" spans="1:14" x14ac:dyDescent="0.25">
      <c r="A545" t="s">
        <v>595</v>
      </c>
      <c r="B545" s="20">
        <v>45470</v>
      </c>
      <c r="C545" t="s">
        <v>45</v>
      </c>
      <c r="D545" t="s">
        <v>17</v>
      </c>
      <c r="E545" t="s">
        <v>55</v>
      </c>
      <c r="F545" t="s">
        <v>23</v>
      </c>
      <c r="G545">
        <v>2</v>
      </c>
      <c r="H545" s="1">
        <v>10.99</v>
      </c>
      <c r="I545" s="1">
        <v>21.98</v>
      </c>
      <c r="J545">
        <v>4</v>
      </c>
      <c r="K545" t="str">
        <f>TEXT(tbl_RawSales[[#This Row],[Order Date]],"mmm")</f>
        <v>Jun</v>
      </c>
      <c r="L545">
        <f>MONTH(tbl_RawSales[[#This Row],[Order Date]])</f>
        <v>6</v>
      </c>
      <c r="M545" t="str">
        <f>TEXT(tbl_RawSales[[#This Row],[Order Date]],"ddd")</f>
        <v>Thu</v>
      </c>
      <c r="N545">
        <f>WEEKDAY(tbl_RawSales[[#This Row],[Order Date]],2)</f>
        <v>4</v>
      </c>
    </row>
    <row r="546" spans="1:14" x14ac:dyDescent="0.25">
      <c r="A546" t="s">
        <v>596</v>
      </c>
      <c r="B546" s="20">
        <v>45521</v>
      </c>
      <c r="C546" t="s">
        <v>45</v>
      </c>
      <c r="D546" t="s">
        <v>17</v>
      </c>
      <c r="E546" t="s">
        <v>43</v>
      </c>
      <c r="F546" t="s">
        <v>23</v>
      </c>
      <c r="G546">
        <v>1</v>
      </c>
      <c r="H546" s="1">
        <v>11.99</v>
      </c>
      <c r="I546" s="1">
        <v>11.99</v>
      </c>
      <c r="J546">
        <v>5</v>
      </c>
      <c r="K546" t="str">
        <f>TEXT(tbl_RawSales[[#This Row],[Order Date]],"mmm")</f>
        <v>Aug</v>
      </c>
      <c r="L546">
        <f>MONTH(tbl_RawSales[[#This Row],[Order Date]])</f>
        <v>8</v>
      </c>
      <c r="M546" t="str">
        <f>TEXT(tbl_RawSales[[#This Row],[Order Date]],"ddd")</f>
        <v>Sat</v>
      </c>
      <c r="N546">
        <f>WEEKDAY(tbl_RawSales[[#This Row],[Order Date]],2)</f>
        <v>6</v>
      </c>
    </row>
    <row r="547" spans="1:14" x14ac:dyDescent="0.25">
      <c r="A547" t="s">
        <v>597</v>
      </c>
      <c r="B547" s="20">
        <v>45999</v>
      </c>
      <c r="C547" t="s">
        <v>32</v>
      </c>
      <c r="D547" t="s">
        <v>29</v>
      </c>
      <c r="E547" t="s">
        <v>52</v>
      </c>
      <c r="F547" t="s">
        <v>19</v>
      </c>
      <c r="G547">
        <v>1</v>
      </c>
      <c r="H547" s="1">
        <v>6.99</v>
      </c>
      <c r="I547" s="1">
        <v>6.99</v>
      </c>
      <c r="J547">
        <v>5</v>
      </c>
      <c r="K547" t="str">
        <f>TEXT(tbl_RawSales[[#This Row],[Order Date]],"mmm")</f>
        <v>Dec</v>
      </c>
      <c r="L547">
        <f>MONTH(tbl_RawSales[[#This Row],[Order Date]])</f>
        <v>12</v>
      </c>
      <c r="M547" t="str">
        <f>TEXT(tbl_RawSales[[#This Row],[Order Date]],"ddd")</f>
        <v>Mon</v>
      </c>
      <c r="N547">
        <f>WEEKDAY(tbl_RawSales[[#This Row],[Order Date]],2)</f>
        <v>1</v>
      </c>
    </row>
    <row r="548" spans="1:14" x14ac:dyDescent="0.25">
      <c r="A548" t="s">
        <v>598</v>
      </c>
      <c r="B548" s="20">
        <v>45934</v>
      </c>
      <c r="C548" t="s">
        <v>32</v>
      </c>
      <c r="D548" t="s">
        <v>29</v>
      </c>
      <c r="E548" t="s">
        <v>41</v>
      </c>
      <c r="F548" t="s">
        <v>23</v>
      </c>
      <c r="G548">
        <v>2</v>
      </c>
      <c r="H548" s="1">
        <v>12.99</v>
      </c>
      <c r="I548" s="1">
        <v>25.98</v>
      </c>
      <c r="J548">
        <v>5</v>
      </c>
      <c r="K548" t="str">
        <f>TEXT(tbl_RawSales[[#This Row],[Order Date]],"mmm")</f>
        <v>Oct</v>
      </c>
      <c r="L548">
        <f>MONTH(tbl_RawSales[[#This Row],[Order Date]])</f>
        <v>10</v>
      </c>
      <c r="M548" t="str">
        <f>TEXT(tbl_RawSales[[#This Row],[Order Date]],"ddd")</f>
        <v>Sat</v>
      </c>
      <c r="N548">
        <f>WEEKDAY(tbl_RawSales[[#This Row],[Order Date]],2)</f>
        <v>6</v>
      </c>
    </row>
    <row r="549" spans="1:14" x14ac:dyDescent="0.25">
      <c r="A549" t="s">
        <v>599</v>
      </c>
      <c r="B549" s="20">
        <v>45513</v>
      </c>
      <c r="C549" t="s">
        <v>11</v>
      </c>
      <c r="D549" t="s">
        <v>17</v>
      </c>
      <c r="E549" t="s">
        <v>221</v>
      </c>
      <c r="F549" t="s">
        <v>67</v>
      </c>
      <c r="G549">
        <v>1</v>
      </c>
      <c r="H549" s="1">
        <v>9.99</v>
      </c>
      <c r="I549" s="1">
        <v>9.99</v>
      </c>
      <c r="J549">
        <v>5</v>
      </c>
      <c r="K549" t="str">
        <f>TEXT(tbl_RawSales[[#This Row],[Order Date]],"mmm")</f>
        <v>Aug</v>
      </c>
      <c r="L549">
        <f>MONTH(tbl_RawSales[[#This Row],[Order Date]])</f>
        <v>8</v>
      </c>
      <c r="M549" t="str">
        <f>TEXT(tbl_RawSales[[#This Row],[Order Date]],"ddd")</f>
        <v>Fri</v>
      </c>
      <c r="N549">
        <f>WEEKDAY(tbl_RawSales[[#This Row],[Order Date]],2)</f>
        <v>5</v>
      </c>
    </row>
    <row r="550" spans="1:14" x14ac:dyDescent="0.25">
      <c r="A550" t="s">
        <v>600</v>
      </c>
      <c r="B550" s="20">
        <v>45328</v>
      </c>
      <c r="C550" t="s">
        <v>34</v>
      </c>
      <c r="D550" t="s">
        <v>29</v>
      </c>
      <c r="E550" t="s">
        <v>74</v>
      </c>
      <c r="F550" t="s">
        <v>14</v>
      </c>
      <c r="G550">
        <v>1</v>
      </c>
      <c r="H550" s="1">
        <v>14.99</v>
      </c>
      <c r="I550" s="1">
        <v>14.99</v>
      </c>
      <c r="J550">
        <v>5</v>
      </c>
      <c r="K550" t="str">
        <f>TEXT(tbl_RawSales[[#This Row],[Order Date]],"mmm")</f>
        <v>Feb</v>
      </c>
      <c r="L550">
        <f>MONTH(tbl_RawSales[[#This Row],[Order Date]])</f>
        <v>2</v>
      </c>
      <c r="M550" t="str">
        <f>TEXT(tbl_RawSales[[#This Row],[Order Date]],"ddd")</f>
        <v>Tue</v>
      </c>
      <c r="N550">
        <f>WEEKDAY(tbl_RawSales[[#This Row],[Order Date]],2)</f>
        <v>2</v>
      </c>
    </row>
    <row r="551" spans="1:14" x14ac:dyDescent="0.25">
      <c r="A551" t="s">
        <v>601</v>
      </c>
      <c r="B551" s="20">
        <v>45865</v>
      </c>
      <c r="C551" t="s">
        <v>28</v>
      </c>
      <c r="D551" t="s">
        <v>12</v>
      </c>
      <c r="E551" t="s">
        <v>39</v>
      </c>
      <c r="F551" t="s">
        <v>14</v>
      </c>
      <c r="G551">
        <v>1</v>
      </c>
      <c r="H551" s="1">
        <v>24.99</v>
      </c>
      <c r="I551" s="1">
        <v>24.99</v>
      </c>
      <c r="J551">
        <v>3</v>
      </c>
      <c r="K551" t="str">
        <f>TEXT(tbl_RawSales[[#This Row],[Order Date]],"mmm")</f>
        <v>Jul</v>
      </c>
      <c r="L551">
        <f>MONTH(tbl_RawSales[[#This Row],[Order Date]])</f>
        <v>7</v>
      </c>
      <c r="M551" t="str">
        <f>TEXT(tbl_RawSales[[#This Row],[Order Date]],"ddd")</f>
        <v>Sun</v>
      </c>
      <c r="N551">
        <f>WEEKDAY(tbl_RawSales[[#This Row],[Order Date]],2)</f>
        <v>7</v>
      </c>
    </row>
    <row r="552" spans="1:14" x14ac:dyDescent="0.25">
      <c r="A552" t="s">
        <v>602</v>
      </c>
      <c r="B552" s="20">
        <v>45960</v>
      </c>
      <c r="C552" t="s">
        <v>11</v>
      </c>
      <c r="D552" t="s">
        <v>17</v>
      </c>
      <c r="E552" t="s">
        <v>221</v>
      </c>
      <c r="F552" t="s">
        <v>67</v>
      </c>
      <c r="G552">
        <v>4</v>
      </c>
      <c r="H552" s="1">
        <v>9.99</v>
      </c>
      <c r="I552" s="1">
        <v>39.96</v>
      </c>
      <c r="J552">
        <v>3</v>
      </c>
      <c r="K552" t="str">
        <f>TEXT(tbl_RawSales[[#This Row],[Order Date]],"mmm")</f>
        <v>Oct</v>
      </c>
      <c r="L552">
        <f>MONTH(tbl_RawSales[[#This Row],[Order Date]])</f>
        <v>10</v>
      </c>
      <c r="M552" t="str">
        <f>TEXT(tbl_RawSales[[#This Row],[Order Date]],"ddd")</f>
        <v>Thu</v>
      </c>
      <c r="N552">
        <f>WEEKDAY(tbl_RawSales[[#This Row],[Order Date]],2)</f>
        <v>4</v>
      </c>
    </row>
    <row r="553" spans="1:14" x14ac:dyDescent="0.25">
      <c r="A553" t="s">
        <v>603</v>
      </c>
      <c r="B553" s="20">
        <v>45636</v>
      </c>
      <c r="C553" t="s">
        <v>28</v>
      </c>
      <c r="D553" t="s">
        <v>29</v>
      </c>
      <c r="E553" t="s">
        <v>62</v>
      </c>
      <c r="F553" t="s">
        <v>23</v>
      </c>
      <c r="G553">
        <v>2</v>
      </c>
      <c r="H553" s="1">
        <v>9.99</v>
      </c>
      <c r="I553" s="1">
        <v>19.98</v>
      </c>
      <c r="J553">
        <v>5</v>
      </c>
      <c r="K553" t="str">
        <f>TEXT(tbl_RawSales[[#This Row],[Order Date]],"mmm")</f>
        <v>Dec</v>
      </c>
      <c r="L553">
        <f>MONTH(tbl_RawSales[[#This Row],[Order Date]])</f>
        <v>12</v>
      </c>
      <c r="M553" t="str">
        <f>TEXT(tbl_RawSales[[#This Row],[Order Date]],"ddd")</f>
        <v>Tue</v>
      </c>
      <c r="N553">
        <f>WEEKDAY(tbl_RawSales[[#This Row],[Order Date]],2)</f>
        <v>2</v>
      </c>
    </row>
    <row r="554" spans="1:14" x14ac:dyDescent="0.25">
      <c r="A554" t="s">
        <v>604</v>
      </c>
      <c r="B554" s="20">
        <v>45460</v>
      </c>
      <c r="C554" t="s">
        <v>32</v>
      </c>
      <c r="D554" t="s">
        <v>12</v>
      </c>
      <c r="E554" t="s">
        <v>57</v>
      </c>
      <c r="F554" t="s">
        <v>14</v>
      </c>
      <c r="G554">
        <v>1</v>
      </c>
      <c r="H554" s="1">
        <v>15.99</v>
      </c>
      <c r="I554" s="1">
        <v>15.99</v>
      </c>
      <c r="J554">
        <v>4</v>
      </c>
      <c r="K554" t="str">
        <f>TEXT(tbl_RawSales[[#This Row],[Order Date]],"mmm")</f>
        <v>Jun</v>
      </c>
      <c r="L554">
        <f>MONTH(tbl_RawSales[[#This Row],[Order Date]])</f>
        <v>6</v>
      </c>
      <c r="M554" t="str">
        <f>TEXT(tbl_RawSales[[#This Row],[Order Date]],"ddd")</f>
        <v>Mon</v>
      </c>
      <c r="N554">
        <f>WEEKDAY(tbl_RawSales[[#This Row],[Order Date]],2)</f>
        <v>1</v>
      </c>
    </row>
    <row r="555" spans="1:14" x14ac:dyDescent="0.25">
      <c r="A555" t="s">
        <v>605</v>
      </c>
      <c r="B555" s="20">
        <v>45486</v>
      </c>
      <c r="C555" t="s">
        <v>28</v>
      </c>
      <c r="D555" t="s">
        <v>29</v>
      </c>
      <c r="E555" t="s">
        <v>57</v>
      </c>
      <c r="F555" t="s">
        <v>14</v>
      </c>
      <c r="G555">
        <v>3</v>
      </c>
      <c r="H555" s="1">
        <v>15.99</v>
      </c>
      <c r="I555" s="1">
        <v>47.97</v>
      </c>
      <c r="J555">
        <v>4</v>
      </c>
      <c r="K555" t="str">
        <f>TEXT(tbl_RawSales[[#This Row],[Order Date]],"mmm")</f>
        <v>Jul</v>
      </c>
      <c r="L555">
        <f>MONTH(tbl_RawSales[[#This Row],[Order Date]])</f>
        <v>7</v>
      </c>
      <c r="M555" t="str">
        <f>TEXT(tbl_RawSales[[#This Row],[Order Date]],"ddd")</f>
        <v>Sat</v>
      </c>
      <c r="N555">
        <f>WEEKDAY(tbl_RawSales[[#This Row],[Order Date]],2)</f>
        <v>6</v>
      </c>
    </row>
    <row r="556" spans="1:14" x14ac:dyDescent="0.25">
      <c r="A556" t="s">
        <v>606</v>
      </c>
      <c r="B556" s="20">
        <v>45480</v>
      </c>
      <c r="C556" t="s">
        <v>21</v>
      </c>
      <c r="D556" t="s">
        <v>17</v>
      </c>
      <c r="E556" t="s">
        <v>18</v>
      </c>
      <c r="F556" t="s">
        <v>19</v>
      </c>
      <c r="G556">
        <v>3</v>
      </c>
      <c r="H556" s="1">
        <v>9.99</v>
      </c>
      <c r="I556" s="1">
        <v>29.97</v>
      </c>
      <c r="J556">
        <v>4</v>
      </c>
      <c r="K556" t="str">
        <f>TEXT(tbl_RawSales[[#This Row],[Order Date]],"mmm")</f>
        <v>Jul</v>
      </c>
      <c r="L556">
        <f>MONTH(tbl_RawSales[[#This Row],[Order Date]])</f>
        <v>7</v>
      </c>
      <c r="M556" t="str">
        <f>TEXT(tbl_RawSales[[#This Row],[Order Date]],"ddd")</f>
        <v>Sun</v>
      </c>
      <c r="N556">
        <f>WEEKDAY(tbl_RawSales[[#This Row],[Order Date]],2)</f>
        <v>7</v>
      </c>
    </row>
    <row r="557" spans="1:14" x14ac:dyDescent="0.25">
      <c r="A557" t="s">
        <v>607</v>
      </c>
      <c r="B557" s="20">
        <v>45403</v>
      </c>
      <c r="C557" t="s">
        <v>34</v>
      </c>
      <c r="D557" t="s">
        <v>29</v>
      </c>
      <c r="E557" t="s">
        <v>83</v>
      </c>
      <c r="F557" t="s">
        <v>14</v>
      </c>
      <c r="G557">
        <v>1</v>
      </c>
      <c r="H557" s="1">
        <v>17.989999999999998</v>
      </c>
      <c r="I557" s="1">
        <v>17.989999999999998</v>
      </c>
      <c r="J557">
        <v>2</v>
      </c>
      <c r="K557" t="str">
        <f>TEXT(tbl_RawSales[[#This Row],[Order Date]],"mmm")</f>
        <v>Apr</v>
      </c>
      <c r="L557">
        <f>MONTH(tbl_RawSales[[#This Row],[Order Date]])</f>
        <v>4</v>
      </c>
      <c r="M557" t="str">
        <f>TEXT(tbl_RawSales[[#This Row],[Order Date]],"ddd")</f>
        <v>Sun</v>
      </c>
      <c r="N557">
        <f>WEEKDAY(tbl_RawSales[[#This Row],[Order Date]],2)</f>
        <v>7</v>
      </c>
    </row>
    <row r="558" spans="1:14" x14ac:dyDescent="0.25">
      <c r="A558" t="s">
        <v>608</v>
      </c>
      <c r="B558" s="20">
        <v>45424</v>
      </c>
      <c r="C558" t="s">
        <v>34</v>
      </c>
      <c r="D558" t="s">
        <v>12</v>
      </c>
      <c r="E558" t="s">
        <v>74</v>
      </c>
      <c r="F558" t="s">
        <v>14</v>
      </c>
      <c r="G558">
        <v>3</v>
      </c>
      <c r="H558" s="1">
        <v>14.99</v>
      </c>
      <c r="I558" s="1">
        <v>44.97</v>
      </c>
      <c r="J558">
        <v>3</v>
      </c>
      <c r="K558" t="str">
        <f>TEXT(tbl_RawSales[[#This Row],[Order Date]],"mmm")</f>
        <v>May</v>
      </c>
      <c r="L558">
        <f>MONTH(tbl_RawSales[[#This Row],[Order Date]])</f>
        <v>5</v>
      </c>
      <c r="M558" t="str">
        <f>TEXT(tbl_RawSales[[#This Row],[Order Date]],"ddd")</f>
        <v>Sun</v>
      </c>
      <c r="N558">
        <f>WEEKDAY(tbl_RawSales[[#This Row],[Order Date]],2)</f>
        <v>7</v>
      </c>
    </row>
    <row r="559" spans="1:14" x14ac:dyDescent="0.25">
      <c r="A559" t="s">
        <v>609</v>
      </c>
      <c r="B559" s="20">
        <v>45438</v>
      </c>
      <c r="C559" t="s">
        <v>16</v>
      </c>
      <c r="D559" t="s">
        <v>29</v>
      </c>
      <c r="E559" t="s">
        <v>62</v>
      </c>
      <c r="F559" t="s">
        <v>23</v>
      </c>
      <c r="G559">
        <v>2</v>
      </c>
      <c r="H559" s="1">
        <v>9.99</v>
      </c>
      <c r="I559" s="1">
        <v>19.98</v>
      </c>
      <c r="J559">
        <v>3</v>
      </c>
      <c r="K559" t="str">
        <f>TEXT(tbl_RawSales[[#This Row],[Order Date]],"mmm")</f>
        <v>May</v>
      </c>
      <c r="L559">
        <f>MONTH(tbl_RawSales[[#This Row],[Order Date]])</f>
        <v>5</v>
      </c>
      <c r="M559" t="str">
        <f>TEXT(tbl_RawSales[[#This Row],[Order Date]],"ddd")</f>
        <v>Sun</v>
      </c>
      <c r="N559">
        <f>WEEKDAY(tbl_RawSales[[#This Row],[Order Date]],2)</f>
        <v>7</v>
      </c>
    </row>
    <row r="560" spans="1:14" x14ac:dyDescent="0.25">
      <c r="A560" t="s">
        <v>610</v>
      </c>
      <c r="B560" s="20">
        <v>45631</v>
      </c>
      <c r="C560" t="s">
        <v>97</v>
      </c>
      <c r="D560" t="s">
        <v>29</v>
      </c>
      <c r="E560" t="s">
        <v>57</v>
      </c>
      <c r="F560" t="s">
        <v>14</v>
      </c>
      <c r="G560">
        <v>2</v>
      </c>
      <c r="H560" s="1">
        <v>15.99</v>
      </c>
      <c r="I560" s="1">
        <v>31.98</v>
      </c>
      <c r="J560">
        <v>4</v>
      </c>
      <c r="K560" t="str">
        <f>TEXT(tbl_RawSales[[#This Row],[Order Date]],"mmm")</f>
        <v>Dec</v>
      </c>
      <c r="L560">
        <f>MONTH(tbl_RawSales[[#This Row],[Order Date]])</f>
        <v>12</v>
      </c>
      <c r="M560" t="str">
        <f>TEXT(tbl_RawSales[[#This Row],[Order Date]],"ddd")</f>
        <v>Thu</v>
      </c>
      <c r="N560">
        <f>WEEKDAY(tbl_RawSales[[#This Row],[Order Date]],2)</f>
        <v>4</v>
      </c>
    </row>
    <row r="561" spans="1:14" x14ac:dyDescent="0.25">
      <c r="A561" t="s">
        <v>611</v>
      </c>
      <c r="B561" s="20">
        <v>45578</v>
      </c>
      <c r="C561" t="s">
        <v>34</v>
      </c>
      <c r="D561" t="s">
        <v>17</v>
      </c>
      <c r="E561" t="s">
        <v>55</v>
      </c>
      <c r="F561" t="s">
        <v>23</v>
      </c>
      <c r="G561">
        <v>1</v>
      </c>
      <c r="H561" s="1">
        <v>10.99</v>
      </c>
      <c r="I561" s="1">
        <v>10.99</v>
      </c>
      <c r="J561">
        <v>4</v>
      </c>
      <c r="K561" t="str">
        <f>TEXT(tbl_RawSales[[#This Row],[Order Date]],"mmm")</f>
        <v>Oct</v>
      </c>
      <c r="L561">
        <f>MONTH(tbl_RawSales[[#This Row],[Order Date]])</f>
        <v>10</v>
      </c>
      <c r="M561" t="str">
        <f>TEXT(tbl_RawSales[[#This Row],[Order Date]],"ddd")</f>
        <v>Sun</v>
      </c>
      <c r="N561">
        <f>WEEKDAY(tbl_RawSales[[#This Row],[Order Date]],2)</f>
        <v>7</v>
      </c>
    </row>
    <row r="562" spans="1:14" x14ac:dyDescent="0.25">
      <c r="A562" t="s">
        <v>612</v>
      </c>
      <c r="B562" s="20">
        <v>45336</v>
      </c>
      <c r="C562" t="s">
        <v>45</v>
      </c>
      <c r="D562" t="s">
        <v>29</v>
      </c>
      <c r="E562" t="s">
        <v>74</v>
      </c>
      <c r="F562" t="s">
        <v>14</v>
      </c>
      <c r="G562">
        <v>1</v>
      </c>
      <c r="H562" s="1">
        <v>14.99</v>
      </c>
      <c r="I562" s="1">
        <v>14.99</v>
      </c>
      <c r="J562">
        <v>2</v>
      </c>
      <c r="K562" t="str">
        <f>TEXT(tbl_RawSales[[#This Row],[Order Date]],"mmm")</f>
        <v>Feb</v>
      </c>
      <c r="L562">
        <f>MONTH(tbl_RawSales[[#This Row],[Order Date]])</f>
        <v>2</v>
      </c>
      <c r="M562" t="str">
        <f>TEXT(tbl_RawSales[[#This Row],[Order Date]],"ddd")</f>
        <v>Wed</v>
      </c>
      <c r="N562">
        <f>WEEKDAY(tbl_RawSales[[#This Row],[Order Date]],2)</f>
        <v>3</v>
      </c>
    </row>
    <row r="563" spans="1:14" x14ac:dyDescent="0.25">
      <c r="A563" t="s">
        <v>613</v>
      </c>
      <c r="B563" s="20">
        <v>45906</v>
      </c>
      <c r="C563" t="s">
        <v>45</v>
      </c>
      <c r="D563" t="s">
        <v>17</v>
      </c>
      <c r="E563" t="s">
        <v>176</v>
      </c>
      <c r="F563" t="s">
        <v>67</v>
      </c>
      <c r="G563">
        <v>1</v>
      </c>
      <c r="H563" s="1">
        <v>11.99</v>
      </c>
      <c r="I563" s="1">
        <v>11.99</v>
      </c>
      <c r="J563">
        <v>2</v>
      </c>
      <c r="K563" t="str">
        <f>TEXT(tbl_RawSales[[#This Row],[Order Date]],"mmm")</f>
        <v>Sept</v>
      </c>
      <c r="L563">
        <f>MONTH(tbl_RawSales[[#This Row],[Order Date]])</f>
        <v>9</v>
      </c>
      <c r="M563" t="str">
        <f>TEXT(tbl_RawSales[[#This Row],[Order Date]],"ddd")</f>
        <v>Sat</v>
      </c>
      <c r="N563">
        <f>WEEKDAY(tbl_RawSales[[#This Row],[Order Date]],2)</f>
        <v>6</v>
      </c>
    </row>
    <row r="564" spans="1:14" x14ac:dyDescent="0.25">
      <c r="A564" t="s">
        <v>614</v>
      </c>
      <c r="B564" s="20">
        <v>46001</v>
      </c>
      <c r="C564" t="s">
        <v>32</v>
      </c>
      <c r="D564" t="s">
        <v>17</v>
      </c>
      <c r="E564" t="s">
        <v>22</v>
      </c>
      <c r="F564" t="s">
        <v>23</v>
      </c>
      <c r="G564">
        <v>3</v>
      </c>
      <c r="H564" s="1">
        <v>8.99</v>
      </c>
      <c r="I564" s="1">
        <v>26.97</v>
      </c>
      <c r="J564">
        <v>4</v>
      </c>
      <c r="K564" t="str">
        <f>TEXT(tbl_RawSales[[#This Row],[Order Date]],"mmm")</f>
        <v>Dec</v>
      </c>
      <c r="L564">
        <f>MONTH(tbl_RawSales[[#This Row],[Order Date]])</f>
        <v>12</v>
      </c>
      <c r="M564" t="str">
        <f>TEXT(tbl_RawSales[[#This Row],[Order Date]],"ddd")</f>
        <v>Wed</v>
      </c>
      <c r="N564">
        <f>WEEKDAY(tbl_RawSales[[#This Row],[Order Date]],2)</f>
        <v>3</v>
      </c>
    </row>
    <row r="565" spans="1:14" x14ac:dyDescent="0.25">
      <c r="A565" t="s">
        <v>615</v>
      </c>
      <c r="B565" s="20">
        <v>45744</v>
      </c>
      <c r="C565" t="s">
        <v>32</v>
      </c>
      <c r="D565" t="s">
        <v>12</v>
      </c>
      <c r="E565" t="s">
        <v>50</v>
      </c>
      <c r="F565" t="s">
        <v>14</v>
      </c>
      <c r="G565">
        <v>2</v>
      </c>
      <c r="H565" s="1">
        <v>22.99</v>
      </c>
      <c r="I565" s="1">
        <v>45.98</v>
      </c>
      <c r="J565">
        <v>4</v>
      </c>
      <c r="K565" t="str">
        <f>TEXT(tbl_RawSales[[#This Row],[Order Date]],"mmm")</f>
        <v>Mar</v>
      </c>
      <c r="L565">
        <f>MONTH(tbl_RawSales[[#This Row],[Order Date]])</f>
        <v>3</v>
      </c>
      <c r="M565" t="str">
        <f>TEXT(tbl_RawSales[[#This Row],[Order Date]],"ddd")</f>
        <v>Fri</v>
      </c>
      <c r="N565">
        <f>WEEKDAY(tbl_RawSales[[#This Row],[Order Date]],2)</f>
        <v>5</v>
      </c>
    </row>
    <row r="566" spans="1:14" x14ac:dyDescent="0.25">
      <c r="A566" t="s">
        <v>616</v>
      </c>
      <c r="B566" s="20">
        <v>45898</v>
      </c>
      <c r="C566" t="s">
        <v>11</v>
      </c>
      <c r="D566" t="s">
        <v>17</v>
      </c>
      <c r="E566" t="s">
        <v>62</v>
      </c>
      <c r="F566" t="s">
        <v>23</v>
      </c>
      <c r="G566">
        <v>1</v>
      </c>
      <c r="H566" s="1">
        <v>9.99</v>
      </c>
      <c r="I566" s="1">
        <v>9.99</v>
      </c>
      <c r="J566">
        <v>3</v>
      </c>
      <c r="K566" t="str">
        <f>TEXT(tbl_RawSales[[#This Row],[Order Date]],"mmm")</f>
        <v>Aug</v>
      </c>
      <c r="L566">
        <f>MONTH(tbl_RawSales[[#This Row],[Order Date]])</f>
        <v>8</v>
      </c>
      <c r="M566" t="str">
        <f>TEXT(tbl_RawSales[[#This Row],[Order Date]],"ddd")</f>
        <v>Fri</v>
      </c>
      <c r="N566">
        <f>WEEKDAY(tbl_RawSales[[#This Row],[Order Date]],2)</f>
        <v>5</v>
      </c>
    </row>
    <row r="567" spans="1:14" x14ac:dyDescent="0.25">
      <c r="A567" t="s">
        <v>617</v>
      </c>
      <c r="B567" s="20">
        <v>45857</v>
      </c>
      <c r="C567" t="s">
        <v>25</v>
      </c>
      <c r="D567" t="s">
        <v>17</v>
      </c>
      <c r="E567" t="s">
        <v>39</v>
      </c>
      <c r="F567" t="s">
        <v>14</v>
      </c>
      <c r="G567">
        <v>1</v>
      </c>
      <c r="H567" s="1">
        <v>24.99</v>
      </c>
      <c r="I567" s="1">
        <v>24.99</v>
      </c>
      <c r="J567">
        <v>3</v>
      </c>
      <c r="K567" t="str">
        <f>TEXT(tbl_RawSales[[#This Row],[Order Date]],"mmm")</f>
        <v>Jul</v>
      </c>
      <c r="L567">
        <f>MONTH(tbl_RawSales[[#This Row],[Order Date]])</f>
        <v>7</v>
      </c>
      <c r="M567" t="str">
        <f>TEXT(tbl_RawSales[[#This Row],[Order Date]],"ddd")</f>
        <v>Sat</v>
      </c>
      <c r="N567">
        <f>WEEKDAY(tbl_RawSales[[#This Row],[Order Date]],2)</f>
        <v>6</v>
      </c>
    </row>
    <row r="568" spans="1:14" x14ac:dyDescent="0.25">
      <c r="A568" t="s">
        <v>618</v>
      </c>
      <c r="B568" s="20">
        <v>45596</v>
      </c>
      <c r="C568" t="s">
        <v>16</v>
      </c>
      <c r="D568" t="s">
        <v>29</v>
      </c>
      <c r="E568" t="s">
        <v>62</v>
      </c>
      <c r="F568" t="s">
        <v>23</v>
      </c>
      <c r="G568">
        <v>1</v>
      </c>
      <c r="H568" s="1">
        <v>9.99</v>
      </c>
      <c r="I568" s="1">
        <v>9.99</v>
      </c>
      <c r="J568">
        <v>4</v>
      </c>
      <c r="K568" t="str">
        <f>TEXT(tbl_RawSales[[#This Row],[Order Date]],"mmm")</f>
        <v>Oct</v>
      </c>
      <c r="L568">
        <f>MONTH(tbl_RawSales[[#This Row],[Order Date]])</f>
        <v>10</v>
      </c>
      <c r="M568" t="str">
        <f>TEXT(tbl_RawSales[[#This Row],[Order Date]],"ddd")</f>
        <v>Thu</v>
      </c>
      <c r="N568">
        <f>WEEKDAY(tbl_RawSales[[#This Row],[Order Date]],2)</f>
        <v>4</v>
      </c>
    </row>
    <row r="569" spans="1:14" x14ac:dyDescent="0.25">
      <c r="A569" t="s">
        <v>619</v>
      </c>
      <c r="B569" s="20">
        <v>45741</v>
      </c>
      <c r="C569" t="s">
        <v>28</v>
      </c>
      <c r="D569" t="s">
        <v>29</v>
      </c>
      <c r="E569" t="s">
        <v>142</v>
      </c>
      <c r="F569" t="s">
        <v>23</v>
      </c>
      <c r="G569">
        <v>2</v>
      </c>
      <c r="H569" s="1">
        <v>14.99</v>
      </c>
      <c r="I569" s="1">
        <v>29.98</v>
      </c>
      <c r="J569">
        <v>4</v>
      </c>
      <c r="K569" t="str">
        <f>TEXT(tbl_RawSales[[#This Row],[Order Date]],"mmm")</f>
        <v>Mar</v>
      </c>
      <c r="L569">
        <f>MONTH(tbl_RawSales[[#This Row],[Order Date]])</f>
        <v>3</v>
      </c>
      <c r="M569" t="str">
        <f>TEXT(tbl_RawSales[[#This Row],[Order Date]],"ddd")</f>
        <v>Tue</v>
      </c>
      <c r="N569">
        <f>WEEKDAY(tbl_RawSales[[#This Row],[Order Date]],2)</f>
        <v>2</v>
      </c>
    </row>
    <row r="570" spans="1:14" x14ac:dyDescent="0.25">
      <c r="A570" t="s">
        <v>620</v>
      </c>
      <c r="B570" s="20">
        <v>45432</v>
      </c>
      <c r="C570" t="s">
        <v>21</v>
      </c>
      <c r="D570" t="s">
        <v>29</v>
      </c>
      <c r="E570" t="s">
        <v>57</v>
      </c>
      <c r="F570" t="s">
        <v>14</v>
      </c>
      <c r="G570">
        <v>1</v>
      </c>
      <c r="H570" s="1">
        <v>15.99</v>
      </c>
      <c r="I570" s="1">
        <v>15.99</v>
      </c>
      <c r="J570">
        <v>4</v>
      </c>
      <c r="K570" t="str">
        <f>TEXT(tbl_RawSales[[#This Row],[Order Date]],"mmm")</f>
        <v>May</v>
      </c>
      <c r="L570">
        <f>MONTH(tbl_RawSales[[#This Row],[Order Date]])</f>
        <v>5</v>
      </c>
      <c r="M570" t="str">
        <f>TEXT(tbl_RawSales[[#This Row],[Order Date]],"ddd")</f>
        <v>Mon</v>
      </c>
      <c r="N570">
        <f>WEEKDAY(tbl_RawSales[[#This Row],[Order Date]],2)</f>
        <v>1</v>
      </c>
    </row>
    <row r="571" spans="1:14" x14ac:dyDescent="0.25">
      <c r="A571" t="s">
        <v>621</v>
      </c>
      <c r="B571" s="20">
        <v>45744</v>
      </c>
      <c r="C571" t="s">
        <v>21</v>
      </c>
      <c r="D571" t="s">
        <v>29</v>
      </c>
      <c r="E571" t="s">
        <v>43</v>
      </c>
      <c r="F571" t="s">
        <v>23</v>
      </c>
      <c r="G571">
        <v>1</v>
      </c>
      <c r="H571" s="1">
        <v>11.99</v>
      </c>
      <c r="I571" s="1">
        <v>11.99</v>
      </c>
      <c r="J571">
        <v>4</v>
      </c>
      <c r="K571" t="str">
        <f>TEXT(tbl_RawSales[[#This Row],[Order Date]],"mmm")</f>
        <v>Mar</v>
      </c>
      <c r="L571">
        <f>MONTH(tbl_RawSales[[#This Row],[Order Date]])</f>
        <v>3</v>
      </c>
      <c r="M571" t="str">
        <f>TEXT(tbl_RawSales[[#This Row],[Order Date]],"ddd")</f>
        <v>Fri</v>
      </c>
      <c r="N571">
        <f>WEEKDAY(tbl_RawSales[[#This Row],[Order Date]],2)</f>
        <v>5</v>
      </c>
    </row>
    <row r="572" spans="1:14" x14ac:dyDescent="0.25">
      <c r="A572" t="s">
        <v>622</v>
      </c>
      <c r="B572" s="20">
        <v>45505</v>
      </c>
      <c r="C572" t="s">
        <v>32</v>
      </c>
      <c r="D572" t="s">
        <v>12</v>
      </c>
      <c r="E572" t="s">
        <v>79</v>
      </c>
      <c r="F572" t="s">
        <v>67</v>
      </c>
      <c r="G572">
        <v>3</v>
      </c>
      <c r="H572" s="1">
        <v>10.99</v>
      </c>
      <c r="I572" s="1">
        <v>32.97</v>
      </c>
      <c r="J572">
        <v>5</v>
      </c>
      <c r="K572" t="str">
        <f>TEXT(tbl_RawSales[[#This Row],[Order Date]],"mmm")</f>
        <v>Aug</v>
      </c>
      <c r="L572">
        <f>MONTH(tbl_RawSales[[#This Row],[Order Date]])</f>
        <v>8</v>
      </c>
      <c r="M572" t="str">
        <f>TEXT(tbl_RawSales[[#This Row],[Order Date]],"ddd")</f>
        <v>Thu</v>
      </c>
      <c r="N572">
        <f>WEEKDAY(tbl_RawSales[[#This Row],[Order Date]],2)</f>
        <v>4</v>
      </c>
    </row>
    <row r="573" spans="1:14" x14ac:dyDescent="0.25">
      <c r="A573" t="s">
        <v>623</v>
      </c>
      <c r="B573" s="20">
        <v>45459</v>
      </c>
      <c r="C573" t="s">
        <v>21</v>
      </c>
      <c r="D573" t="s">
        <v>12</v>
      </c>
      <c r="E573" t="s">
        <v>13</v>
      </c>
      <c r="F573" t="s">
        <v>14</v>
      </c>
      <c r="G573">
        <v>1</v>
      </c>
      <c r="H573" s="1">
        <v>18.989999999999998</v>
      </c>
      <c r="I573" s="1">
        <v>18.989999999999998</v>
      </c>
      <c r="J573">
        <v>4</v>
      </c>
      <c r="K573" t="str">
        <f>TEXT(tbl_RawSales[[#This Row],[Order Date]],"mmm")</f>
        <v>Jun</v>
      </c>
      <c r="L573">
        <f>MONTH(tbl_RawSales[[#This Row],[Order Date]])</f>
        <v>6</v>
      </c>
      <c r="M573" t="str">
        <f>TEXT(tbl_RawSales[[#This Row],[Order Date]],"ddd")</f>
        <v>Sun</v>
      </c>
      <c r="N573">
        <f>WEEKDAY(tbl_RawSales[[#This Row],[Order Date]],2)</f>
        <v>7</v>
      </c>
    </row>
    <row r="574" spans="1:14" x14ac:dyDescent="0.25">
      <c r="A574" t="s">
        <v>624</v>
      </c>
      <c r="B574" s="20">
        <v>45598</v>
      </c>
      <c r="C574" t="s">
        <v>21</v>
      </c>
      <c r="D574" t="s">
        <v>29</v>
      </c>
      <c r="E574" t="s">
        <v>79</v>
      </c>
      <c r="F574" t="s">
        <v>67</v>
      </c>
      <c r="G574">
        <v>2</v>
      </c>
      <c r="H574" s="1">
        <v>10.99</v>
      </c>
      <c r="I574" s="1">
        <v>21.98</v>
      </c>
      <c r="J574">
        <v>5</v>
      </c>
      <c r="K574" t="str">
        <f>TEXT(tbl_RawSales[[#This Row],[Order Date]],"mmm")</f>
        <v>Nov</v>
      </c>
      <c r="L574">
        <f>MONTH(tbl_RawSales[[#This Row],[Order Date]])</f>
        <v>11</v>
      </c>
      <c r="M574" t="str">
        <f>TEXT(tbl_RawSales[[#This Row],[Order Date]],"ddd")</f>
        <v>Sat</v>
      </c>
      <c r="N574">
        <f>WEEKDAY(tbl_RawSales[[#This Row],[Order Date]],2)</f>
        <v>6</v>
      </c>
    </row>
    <row r="575" spans="1:14" x14ac:dyDescent="0.25">
      <c r="A575" t="s">
        <v>625</v>
      </c>
      <c r="B575" s="20">
        <v>45830</v>
      </c>
      <c r="C575" t="s">
        <v>97</v>
      </c>
      <c r="D575" t="s">
        <v>29</v>
      </c>
      <c r="E575" t="s">
        <v>74</v>
      </c>
      <c r="F575" t="s">
        <v>14</v>
      </c>
      <c r="G575">
        <v>1</v>
      </c>
      <c r="H575" s="1">
        <v>14.99</v>
      </c>
      <c r="I575" s="1">
        <v>14.99</v>
      </c>
      <c r="J575">
        <v>1</v>
      </c>
      <c r="K575" t="str">
        <f>TEXT(tbl_RawSales[[#This Row],[Order Date]],"mmm")</f>
        <v>Jun</v>
      </c>
      <c r="L575">
        <f>MONTH(tbl_RawSales[[#This Row],[Order Date]])</f>
        <v>6</v>
      </c>
      <c r="M575" t="str">
        <f>TEXT(tbl_RawSales[[#This Row],[Order Date]],"ddd")</f>
        <v>Sun</v>
      </c>
      <c r="N575">
        <f>WEEKDAY(tbl_RawSales[[#This Row],[Order Date]],2)</f>
        <v>7</v>
      </c>
    </row>
    <row r="576" spans="1:14" x14ac:dyDescent="0.25">
      <c r="A576" t="s">
        <v>626</v>
      </c>
      <c r="B576" s="20">
        <v>45904</v>
      </c>
      <c r="C576" t="s">
        <v>21</v>
      </c>
      <c r="D576" t="s">
        <v>29</v>
      </c>
      <c r="E576" t="s">
        <v>112</v>
      </c>
      <c r="F576" t="s">
        <v>19</v>
      </c>
      <c r="G576">
        <v>3</v>
      </c>
      <c r="H576" s="1">
        <v>5.99</v>
      </c>
      <c r="I576" s="1">
        <v>17.97</v>
      </c>
      <c r="J576">
        <v>4</v>
      </c>
      <c r="K576" t="str">
        <f>TEXT(tbl_RawSales[[#This Row],[Order Date]],"mmm")</f>
        <v>Sept</v>
      </c>
      <c r="L576">
        <f>MONTH(tbl_RawSales[[#This Row],[Order Date]])</f>
        <v>9</v>
      </c>
      <c r="M576" t="str">
        <f>TEXT(tbl_RawSales[[#This Row],[Order Date]],"ddd")</f>
        <v>Thu</v>
      </c>
      <c r="N576">
        <f>WEEKDAY(tbl_RawSales[[#This Row],[Order Date]],2)</f>
        <v>4</v>
      </c>
    </row>
    <row r="577" spans="1:14" x14ac:dyDescent="0.25">
      <c r="A577" t="s">
        <v>627</v>
      </c>
      <c r="B577" s="20">
        <v>45428</v>
      </c>
      <c r="C577" t="s">
        <v>28</v>
      </c>
      <c r="D577" t="s">
        <v>12</v>
      </c>
      <c r="E577" t="s">
        <v>39</v>
      </c>
      <c r="F577" t="s">
        <v>14</v>
      </c>
      <c r="G577">
        <v>3</v>
      </c>
      <c r="H577" s="1">
        <v>24.99</v>
      </c>
      <c r="I577" s="1">
        <v>74.97</v>
      </c>
      <c r="J577">
        <v>2</v>
      </c>
      <c r="K577" t="str">
        <f>TEXT(tbl_RawSales[[#This Row],[Order Date]],"mmm")</f>
        <v>May</v>
      </c>
      <c r="L577">
        <f>MONTH(tbl_RawSales[[#This Row],[Order Date]])</f>
        <v>5</v>
      </c>
      <c r="M577" t="str">
        <f>TEXT(tbl_RawSales[[#This Row],[Order Date]],"ddd")</f>
        <v>Thu</v>
      </c>
      <c r="N577">
        <f>WEEKDAY(tbl_RawSales[[#This Row],[Order Date]],2)</f>
        <v>4</v>
      </c>
    </row>
    <row r="578" spans="1:14" x14ac:dyDescent="0.25">
      <c r="A578" t="s">
        <v>628</v>
      </c>
      <c r="B578" s="20">
        <v>45437</v>
      </c>
      <c r="C578" t="s">
        <v>28</v>
      </c>
      <c r="D578" t="s">
        <v>29</v>
      </c>
      <c r="E578" t="s">
        <v>13</v>
      </c>
      <c r="F578" t="s">
        <v>14</v>
      </c>
      <c r="G578">
        <v>1</v>
      </c>
      <c r="H578" s="1">
        <v>18.989999999999998</v>
      </c>
      <c r="I578" s="1">
        <v>18.989999999999998</v>
      </c>
      <c r="J578">
        <v>4</v>
      </c>
      <c r="K578" t="str">
        <f>TEXT(tbl_RawSales[[#This Row],[Order Date]],"mmm")</f>
        <v>May</v>
      </c>
      <c r="L578">
        <f>MONTH(tbl_RawSales[[#This Row],[Order Date]])</f>
        <v>5</v>
      </c>
      <c r="M578" t="str">
        <f>TEXT(tbl_RawSales[[#This Row],[Order Date]],"ddd")</f>
        <v>Sat</v>
      </c>
      <c r="N578">
        <f>WEEKDAY(tbl_RawSales[[#This Row],[Order Date]],2)</f>
        <v>6</v>
      </c>
    </row>
    <row r="579" spans="1:14" x14ac:dyDescent="0.25">
      <c r="A579" t="s">
        <v>629</v>
      </c>
      <c r="B579" s="20">
        <v>45427</v>
      </c>
      <c r="C579" t="s">
        <v>34</v>
      </c>
      <c r="D579" t="s">
        <v>17</v>
      </c>
      <c r="E579" t="s">
        <v>142</v>
      </c>
      <c r="F579" t="s">
        <v>23</v>
      </c>
      <c r="G579">
        <v>1</v>
      </c>
      <c r="H579" s="1">
        <v>14.99</v>
      </c>
      <c r="I579" s="1">
        <v>14.99</v>
      </c>
      <c r="J579">
        <v>4</v>
      </c>
      <c r="K579" t="str">
        <f>TEXT(tbl_RawSales[[#This Row],[Order Date]],"mmm")</f>
        <v>May</v>
      </c>
      <c r="L579">
        <f>MONTH(tbl_RawSales[[#This Row],[Order Date]])</f>
        <v>5</v>
      </c>
      <c r="M579" t="str">
        <f>TEXT(tbl_RawSales[[#This Row],[Order Date]],"ddd")</f>
        <v>Wed</v>
      </c>
      <c r="N579">
        <f>WEEKDAY(tbl_RawSales[[#This Row],[Order Date]],2)</f>
        <v>3</v>
      </c>
    </row>
    <row r="580" spans="1:14" x14ac:dyDescent="0.25">
      <c r="A580" t="s">
        <v>630</v>
      </c>
      <c r="B580" s="20">
        <v>45956</v>
      </c>
      <c r="C580" t="s">
        <v>28</v>
      </c>
      <c r="D580" t="s">
        <v>29</v>
      </c>
      <c r="E580" t="s">
        <v>57</v>
      </c>
      <c r="F580" t="s">
        <v>14</v>
      </c>
      <c r="G580">
        <v>1</v>
      </c>
      <c r="H580" s="1">
        <v>15.99</v>
      </c>
      <c r="I580" s="1">
        <v>15.99</v>
      </c>
      <c r="J580">
        <v>2</v>
      </c>
      <c r="K580" t="str">
        <f>TEXT(tbl_RawSales[[#This Row],[Order Date]],"mmm")</f>
        <v>Oct</v>
      </c>
      <c r="L580">
        <f>MONTH(tbl_RawSales[[#This Row],[Order Date]])</f>
        <v>10</v>
      </c>
      <c r="M580" t="str">
        <f>TEXT(tbl_RawSales[[#This Row],[Order Date]],"ddd")</f>
        <v>Sun</v>
      </c>
      <c r="N580">
        <f>WEEKDAY(tbl_RawSales[[#This Row],[Order Date]],2)</f>
        <v>7</v>
      </c>
    </row>
    <row r="581" spans="1:14" x14ac:dyDescent="0.25">
      <c r="A581" t="s">
        <v>631</v>
      </c>
      <c r="B581" s="20">
        <v>45792</v>
      </c>
      <c r="C581" t="s">
        <v>45</v>
      </c>
      <c r="D581" t="s">
        <v>29</v>
      </c>
      <c r="E581" t="s">
        <v>119</v>
      </c>
      <c r="F581" t="s">
        <v>19</v>
      </c>
      <c r="G581">
        <v>2</v>
      </c>
      <c r="H581" s="1">
        <v>4.99</v>
      </c>
      <c r="I581" s="1">
        <v>9.98</v>
      </c>
      <c r="J581">
        <v>3</v>
      </c>
      <c r="K581" t="str">
        <f>TEXT(tbl_RawSales[[#This Row],[Order Date]],"mmm")</f>
        <v>May</v>
      </c>
      <c r="L581">
        <f>MONTH(tbl_RawSales[[#This Row],[Order Date]])</f>
        <v>5</v>
      </c>
      <c r="M581" t="str">
        <f>TEXT(tbl_RawSales[[#This Row],[Order Date]],"ddd")</f>
        <v>Thu</v>
      </c>
      <c r="N581">
        <f>WEEKDAY(tbl_RawSales[[#This Row],[Order Date]],2)</f>
        <v>4</v>
      </c>
    </row>
    <row r="582" spans="1:14" x14ac:dyDescent="0.25">
      <c r="A582" t="s">
        <v>632</v>
      </c>
      <c r="B582" s="20">
        <v>45951</v>
      </c>
      <c r="C582" t="s">
        <v>21</v>
      </c>
      <c r="D582" t="s">
        <v>17</v>
      </c>
      <c r="E582" t="s">
        <v>46</v>
      </c>
      <c r="F582" t="s">
        <v>14</v>
      </c>
      <c r="G582">
        <v>3</v>
      </c>
      <c r="H582" s="1">
        <v>32.99</v>
      </c>
      <c r="I582" s="1">
        <v>98.97</v>
      </c>
      <c r="J582">
        <v>5</v>
      </c>
      <c r="K582" t="str">
        <f>TEXT(tbl_RawSales[[#This Row],[Order Date]],"mmm")</f>
        <v>Oct</v>
      </c>
      <c r="L582">
        <f>MONTH(tbl_RawSales[[#This Row],[Order Date]])</f>
        <v>10</v>
      </c>
      <c r="M582" t="str">
        <f>TEXT(tbl_RawSales[[#This Row],[Order Date]],"ddd")</f>
        <v>Tue</v>
      </c>
      <c r="N582">
        <f>WEEKDAY(tbl_RawSales[[#This Row],[Order Date]],2)</f>
        <v>2</v>
      </c>
    </row>
    <row r="583" spans="1:14" x14ac:dyDescent="0.25">
      <c r="A583" t="s">
        <v>633</v>
      </c>
      <c r="B583" s="20">
        <v>45879</v>
      </c>
      <c r="C583" t="s">
        <v>97</v>
      </c>
      <c r="D583" t="s">
        <v>29</v>
      </c>
      <c r="E583" t="s">
        <v>55</v>
      </c>
      <c r="F583" t="s">
        <v>23</v>
      </c>
      <c r="G583">
        <v>1</v>
      </c>
      <c r="H583" s="1">
        <v>10.99</v>
      </c>
      <c r="I583" s="1">
        <v>10.99</v>
      </c>
      <c r="J583">
        <v>5</v>
      </c>
      <c r="K583" t="str">
        <f>TEXT(tbl_RawSales[[#This Row],[Order Date]],"mmm")</f>
        <v>Aug</v>
      </c>
      <c r="L583">
        <f>MONTH(tbl_RawSales[[#This Row],[Order Date]])</f>
        <v>8</v>
      </c>
      <c r="M583" t="str">
        <f>TEXT(tbl_RawSales[[#This Row],[Order Date]],"ddd")</f>
        <v>Sun</v>
      </c>
      <c r="N583">
        <f>WEEKDAY(tbl_RawSales[[#This Row],[Order Date]],2)</f>
        <v>7</v>
      </c>
    </row>
    <row r="584" spans="1:14" x14ac:dyDescent="0.25">
      <c r="A584" t="s">
        <v>634</v>
      </c>
      <c r="B584" s="20">
        <v>45740</v>
      </c>
      <c r="C584" t="s">
        <v>16</v>
      </c>
      <c r="D584" t="s">
        <v>17</v>
      </c>
      <c r="E584" t="s">
        <v>176</v>
      </c>
      <c r="F584" t="s">
        <v>67</v>
      </c>
      <c r="G584">
        <v>1</v>
      </c>
      <c r="H584" s="1">
        <v>11.99</v>
      </c>
      <c r="I584" s="1">
        <v>11.99</v>
      </c>
      <c r="J584">
        <v>5</v>
      </c>
      <c r="K584" t="str">
        <f>TEXT(tbl_RawSales[[#This Row],[Order Date]],"mmm")</f>
        <v>Mar</v>
      </c>
      <c r="L584">
        <f>MONTH(tbl_RawSales[[#This Row],[Order Date]])</f>
        <v>3</v>
      </c>
      <c r="M584" t="str">
        <f>TEXT(tbl_RawSales[[#This Row],[Order Date]],"ddd")</f>
        <v>Mon</v>
      </c>
      <c r="N584">
        <f>WEEKDAY(tbl_RawSales[[#This Row],[Order Date]],2)</f>
        <v>1</v>
      </c>
    </row>
    <row r="585" spans="1:14" x14ac:dyDescent="0.25">
      <c r="A585" t="s">
        <v>635</v>
      </c>
      <c r="B585" s="20">
        <v>45931</v>
      </c>
      <c r="C585" t="s">
        <v>45</v>
      </c>
      <c r="D585" t="s">
        <v>29</v>
      </c>
      <c r="E585" t="s">
        <v>39</v>
      </c>
      <c r="F585" t="s">
        <v>14</v>
      </c>
      <c r="G585">
        <v>2</v>
      </c>
      <c r="H585" s="1">
        <v>24.99</v>
      </c>
      <c r="I585" s="1">
        <v>49.98</v>
      </c>
      <c r="J585">
        <v>1</v>
      </c>
      <c r="K585" t="str">
        <f>TEXT(tbl_RawSales[[#This Row],[Order Date]],"mmm")</f>
        <v>Oct</v>
      </c>
      <c r="L585">
        <f>MONTH(tbl_RawSales[[#This Row],[Order Date]])</f>
        <v>10</v>
      </c>
      <c r="M585" t="str">
        <f>TEXT(tbl_RawSales[[#This Row],[Order Date]],"ddd")</f>
        <v>Wed</v>
      </c>
      <c r="N585">
        <f>WEEKDAY(tbl_RawSales[[#This Row],[Order Date]],2)</f>
        <v>3</v>
      </c>
    </row>
    <row r="586" spans="1:14" x14ac:dyDescent="0.25">
      <c r="A586" t="s">
        <v>636</v>
      </c>
      <c r="B586" s="20">
        <v>45931</v>
      </c>
      <c r="C586" t="s">
        <v>25</v>
      </c>
      <c r="D586" t="s">
        <v>17</v>
      </c>
      <c r="E586" t="s">
        <v>57</v>
      </c>
      <c r="F586" t="s">
        <v>14</v>
      </c>
      <c r="G586">
        <v>1</v>
      </c>
      <c r="H586" s="1">
        <v>15.99</v>
      </c>
      <c r="I586" s="1">
        <v>15.99</v>
      </c>
      <c r="J586">
        <v>4</v>
      </c>
      <c r="K586" t="str">
        <f>TEXT(tbl_RawSales[[#This Row],[Order Date]],"mmm")</f>
        <v>Oct</v>
      </c>
      <c r="L586">
        <f>MONTH(tbl_RawSales[[#This Row],[Order Date]])</f>
        <v>10</v>
      </c>
      <c r="M586" t="str">
        <f>TEXT(tbl_RawSales[[#This Row],[Order Date]],"ddd")</f>
        <v>Wed</v>
      </c>
      <c r="N586">
        <f>WEEKDAY(tbl_RawSales[[#This Row],[Order Date]],2)</f>
        <v>3</v>
      </c>
    </row>
    <row r="587" spans="1:14" x14ac:dyDescent="0.25">
      <c r="A587" t="s">
        <v>637</v>
      </c>
      <c r="B587" s="20">
        <v>45968</v>
      </c>
      <c r="C587" t="s">
        <v>38</v>
      </c>
      <c r="D587" t="s">
        <v>17</v>
      </c>
      <c r="E587" t="s">
        <v>46</v>
      </c>
      <c r="F587" t="s">
        <v>14</v>
      </c>
      <c r="G587">
        <v>2</v>
      </c>
      <c r="H587" s="1">
        <v>32.99</v>
      </c>
      <c r="I587" s="1">
        <v>65.98</v>
      </c>
      <c r="J587">
        <v>5</v>
      </c>
      <c r="K587" t="str">
        <f>TEXT(tbl_RawSales[[#This Row],[Order Date]],"mmm")</f>
        <v>Nov</v>
      </c>
      <c r="L587">
        <f>MONTH(tbl_RawSales[[#This Row],[Order Date]])</f>
        <v>11</v>
      </c>
      <c r="M587" t="str">
        <f>TEXT(tbl_RawSales[[#This Row],[Order Date]],"ddd")</f>
        <v>Fri</v>
      </c>
      <c r="N587">
        <f>WEEKDAY(tbl_RawSales[[#This Row],[Order Date]],2)</f>
        <v>5</v>
      </c>
    </row>
    <row r="588" spans="1:14" x14ac:dyDescent="0.25">
      <c r="A588" t="s">
        <v>638</v>
      </c>
      <c r="B588" s="20">
        <v>45465</v>
      </c>
      <c r="C588" t="s">
        <v>16</v>
      </c>
      <c r="D588" t="s">
        <v>17</v>
      </c>
      <c r="E588" t="s">
        <v>112</v>
      </c>
      <c r="F588" t="s">
        <v>19</v>
      </c>
      <c r="G588">
        <v>1</v>
      </c>
      <c r="H588" s="1">
        <v>5.99</v>
      </c>
      <c r="I588" s="1">
        <v>5.99</v>
      </c>
      <c r="J588">
        <v>4</v>
      </c>
      <c r="K588" t="str">
        <f>TEXT(tbl_RawSales[[#This Row],[Order Date]],"mmm")</f>
        <v>Jun</v>
      </c>
      <c r="L588">
        <f>MONTH(tbl_RawSales[[#This Row],[Order Date]])</f>
        <v>6</v>
      </c>
      <c r="M588" t="str">
        <f>TEXT(tbl_RawSales[[#This Row],[Order Date]],"ddd")</f>
        <v>Sat</v>
      </c>
      <c r="N588">
        <f>WEEKDAY(tbl_RawSales[[#This Row],[Order Date]],2)</f>
        <v>6</v>
      </c>
    </row>
    <row r="589" spans="1:14" x14ac:dyDescent="0.25">
      <c r="A589" t="s">
        <v>639</v>
      </c>
      <c r="B589" s="20">
        <v>45654</v>
      </c>
      <c r="C589" t="s">
        <v>16</v>
      </c>
      <c r="D589" t="s">
        <v>12</v>
      </c>
      <c r="E589" t="s">
        <v>36</v>
      </c>
      <c r="F589" t="s">
        <v>14</v>
      </c>
      <c r="G589">
        <v>1</v>
      </c>
      <c r="H589" s="1">
        <v>16.989999999999998</v>
      </c>
      <c r="I589" s="1">
        <v>16.989999999999998</v>
      </c>
      <c r="J589">
        <v>4</v>
      </c>
      <c r="K589" t="str">
        <f>TEXT(tbl_RawSales[[#This Row],[Order Date]],"mmm")</f>
        <v>Dec</v>
      </c>
      <c r="L589">
        <f>MONTH(tbl_RawSales[[#This Row],[Order Date]])</f>
        <v>12</v>
      </c>
      <c r="M589" t="str">
        <f>TEXT(tbl_RawSales[[#This Row],[Order Date]],"ddd")</f>
        <v>Sat</v>
      </c>
      <c r="N589">
        <f>WEEKDAY(tbl_RawSales[[#This Row],[Order Date]],2)</f>
        <v>6</v>
      </c>
    </row>
    <row r="590" spans="1:14" x14ac:dyDescent="0.25">
      <c r="A590" t="s">
        <v>640</v>
      </c>
      <c r="B590" s="20">
        <v>45907</v>
      </c>
      <c r="C590" t="s">
        <v>32</v>
      </c>
      <c r="D590" t="s">
        <v>29</v>
      </c>
      <c r="E590" t="s">
        <v>66</v>
      </c>
      <c r="F590" t="s">
        <v>67</v>
      </c>
      <c r="G590">
        <v>4</v>
      </c>
      <c r="H590" s="1">
        <v>7.99</v>
      </c>
      <c r="I590" s="1">
        <v>31.96</v>
      </c>
      <c r="J590">
        <v>5</v>
      </c>
      <c r="K590" t="str">
        <f>TEXT(tbl_RawSales[[#This Row],[Order Date]],"mmm")</f>
        <v>Sept</v>
      </c>
      <c r="L590">
        <f>MONTH(tbl_RawSales[[#This Row],[Order Date]])</f>
        <v>9</v>
      </c>
      <c r="M590" t="str">
        <f>TEXT(tbl_RawSales[[#This Row],[Order Date]],"ddd")</f>
        <v>Sun</v>
      </c>
      <c r="N590">
        <f>WEEKDAY(tbl_RawSales[[#This Row],[Order Date]],2)</f>
        <v>7</v>
      </c>
    </row>
    <row r="591" spans="1:14" x14ac:dyDescent="0.25">
      <c r="A591" t="s">
        <v>641</v>
      </c>
      <c r="B591" s="20">
        <v>45388</v>
      </c>
      <c r="C591" t="s">
        <v>45</v>
      </c>
      <c r="D591" t="s">
        <v>12</v>
      </c>
      <c r="E591" t="s">
        <v>30</v>
      </c>
      <c r="F591" t="s">
        <v>19</v>
      </c>
      <c r="G591">
        <v>3</v>
      </c>
      <c r="H591" s="1">
        <v>7.99</v>
      </c>
      <c r="I591" s="1">
        <v>23.97</v>
      </c>
      <c r="J591">
        <v>4</v>
      </c>
      <c r="K591" t="str">
        <f>TEXT(tbl_RawSales[[#This Row],[Order Date]],"mmm")</f>
        <v>Apr</v>
      </c>
      <c r="L591">
        <f>MONTH(tbl_RawSales[[#This Row],[Order Date]])</f>
        <v>4</v>
      </c>
      <c r="M591" t="str">
        <f>TEXT(tbl_RawSales[[#This Row],[Order Date]],"ddd")</f>
        <v>Sat</v>
      </c>
      <c r="N591">
        <f>WEEKDAY(tbl_RawSales[[#This Row],[Order Date]],2)</f>
        <v>6</v>
      </c>
    </row>
    <row r="592" spans="1:14" x14ac:dyDescent="0.25">
      <c r="A592" t="s">
        <v>642</v>
      </c>
      <c r="B592" s="20">
        <v>45739</v>
      </c>
      <c r="C592" t="s">
        <v>16</v>
      </c>
      <c r="D592" t="s">
        <v>17</v>
      </c>
      <c r="E592" t="s">
        <v>176</v>
      </c>
      <c r="F592" t="s">
        <v>67</v>
      </c>
      <c r="G592">
        <v>2</v>
      </c>
      <c r="H592" s="1">
        <v>11.99</v>
      </c>
      <c r="I592" s="1">
        <v>23.98</v>
      </c>
      <c r="J592">
        <v>4</v>
      </c>
      <c r="K592" t="str">
        <f>TEXT(tbl_RawSales[[#This Row],[Order Date]],"mmm")</f>
        <v>Mar</v>
      </c>
      <c r="L592">
        <f>MONTH(tbl_RawSales[[#This Row],[Order Date]])</f>
        <v>3</v>
      </c>
      <c r="M592" t="str">
        <f>TEXT(tbl_RawSales[[#This Row],[Order Date]],"ddd")</f>
        <v>Sun</v>
      </c>
      <c r="N592">
        <f>WEEKDAY(tbl_RawSales[[#This Row],[Order Date]],2)</f>
        <v>7</v>
      </c>
    </row>
    <row r="593" spans="1:14" x14ac:dyDescent="0.25">
      <c r="A593" t="s">
        <v>643</v>
      </c>
      <c r="B593" s="20">
        <v>45496</v>
      </c>
      <c r="C593" t="s">
        <v>21</v>
      </c>
      <c r="D593" t="s">
        <v>12</v>
      </c>
      <c r="E593" t="s">
        <v>13</v>
      </c>
      <c r="F593" t="s">
        <v>14</v>
      </c>
      <c r="G593">
        <v>3</v>
      </c>
      <c r="H593" s="1">
        <v>18.989999999999998</v>
      </c>
      <c r="I593" s="1">
        <v>56.97</v>
      </c>
      <c r="J593">
        <v>4</v>
      </c>
      <c r="K593" t="str">
        <f>TEXT(tbl_RawSales[[#This Row],[Order Date]],"mmm")</f>
        <v>Jul</v>
      </c>
      <c r="L593">
        <f>MONTH(tbl_RawSales[[#This Row],[Order Date]])</f>
        <v>7</v>
      </c>
      <c r="M593" t="str">
        <f>TEXT(tbl_RawSales[[#This Row],[Order Date]],"ddd")</f>
        <v>Tue</v>
      </c>
      <c r="N593">
        <f>WEEKDAY(tbl_RawSales[[#This Row],[Order Date]],2)</f>
        <v>2</v>
      </c>
    </row>
    <row r="594" spans="1:14" x14ac:dyDescent="0.25">
      <c r="A594" t="s">
        <v>644</v>
      </c>
      <c r="B594" s="20">
        <v>45970</v>
      </c>
      <c r="C594" t="s">
        <v>32</v>
      </c>
      <c r="D594" t="s">
        <v>12</v>
      </c>
      <c r="E594" t="s">
        <v>74</v>
      </c>
      <c r="F594" t="s">
        <v>14</v>
      </c>
      <c r="G594">
        <v>1</v>
      </c>
      <c r="H594" s="1">
        <v>14.99</v>
      </c>
      <c r="I594" s="1">
        <v>14.99</v>
      </c>
      <c r="J594">
        <v>5</v>
      </c>
      <c r="K594" t="str">
        <f>TEXT(tbl_RawSales[[#This Row],[Order Date]],"mmm")</f>
        <v>Nov</v>
      </c>
      <c r="L594">
        <f>MONTH(tbl_RawSales[[#This Row],[Order Date]])</f>
        <v>11</v>
      </c>
      <c r="M594" t="str">
        <f>TEXT(tbl_RawSales[[#This Row],[Order Date]],"ddd")</f>
        <v>Sun</v>
      </c>
      <c r="N594">
        <f>WEEKDAY(tbl_RawSales[[#This Row],[Order Date]],2)</f>
        <v>7</v>
      </c>
    </row>
    <row r="595" spans="1:14" x14ac:dyDescent="0.25">
      <c r="A595" t="s">
        <v>645</v>
      </c>
      <c r="B595" s="20">
        <v>45538</v>
      </c>
      <c r="C595" t="s">
        <v>11</v>
      </c>
      <c r="D595" t="s">
        <v>29</v>
      </c>
      <c r="E595" t="s">
        <v>46</v>
      </c>
      <c r="F595" t="s">
        <v>14</v>
      </c>
      <c r="G595">
        <v>1</v>
      </c>
      <c r="H595" s="1">
        <v>32.99</v>
      </c>
      <c r="I595" s="1">
        <v>32.99</v>
      </c>
      <c r="J595">
        <v>5</v>
      </c>
      <c r="K595" t="str">
        <f>TEXT(tbl_RawSales[[#This Row],[Order Date]],"mmm")</f>
        <v>Sept</v>
      </c>
      <c r="L595">
        <f>MONTH(tbl_RawSales[[#This Row],[Order Date]])</f>
        <v>9</v>
      </c>
      <c r="M595" t="str">
        <f>TEXT(tbl_RawSales[[#This Row],[Order Date]],"ddd")</f>
        <v>Tue</v>
      </c>
      <c r="N595">
        <f>WEEKDAY(tbl_RawSales[[#This Row],[Order Date]],2)</f>
        <v>2</v>
      </c>
    </row>
    <row r="596" spans="1:14" x14ac:dyDescent="0.25">
      <c r="A596" t="s">
        <v>646</v>
      </c>
      <c r="B596" s="20">
        <v>45542</v>
      </c>
      <c r="C596" t="s">
        <v>34</v>
      </c>
      <c r="D596" t="s">
        <v>12</v>
      </c>
      <c r="E596" t="s">
        <v>41</v>
      </c>
      <c r="F596" t="s">
        <v>23</v>
      </c>
      <c r="G596">
        <v>4</v>
      </c>
      <c r="H596" s="1">
        <v>12.99</v>
      </c>
      <c r="I596" s="1">
        <v>51.96</v>
      </c>
      <c r="J596">
        <v>5</v>
      </c>
      <c r="K596" t="str">
        <f>TEXT(tbl_RawSales[[#This Row],[Order Date]],"mmm")</f>
        <v>Sept</v>
      </c>
      <c r="L596">
        <f>MONTH(tbl_RawSales[[#This Row],[Order Date]])</f>
        <v>9</v>
      </c>
      <c r="M596" t="str">
        <f>TEXT(tbl_RawSales[[#This Row],[Order Date]],"ddd")</f>
        <v>Sat</v>
      </c>
      <c r="N596">
        <f>WEEKDAY(tbl_RawSales[[#This Row],[Order Date]],2)</f>
        <v>6</v>
      </c>
    </row>
    <row r="597" spans="1:14" x14ac:dyDescent="0.25">
      <c r="A597" t="s">
        <v>647</v>
      </c>
      <c r="B597" s="20">
        <v>45396</v>
      </c>
      <c r="C597" t="s">
        <v>28</v>
      </c>
      <c r="D597" t="s">
        <v>29</v>
      </c>
      <c r="E597" t="s">
        <v>39</v>
      </c>
      <c r="F597" t="s">
        <v>14</v>
      </c>
      <c r="G597">
        <v>3</v>
      </c>
      <c r="H597" s="1">
        <v>24.99</v>
      </c>
      <c r="I597" s="1">
        <v>74.97</v>
      </c>
      <c r="J597">
        <v>2</v>
      </c>
      <c r="K597" t="str">
        <f>TEXT(tbl_RawSales[[#This Row],[Order Date]],"mmm")</f>
        <v>Apr</v>
      </c>
      <c r="L597">
        <f>MONTH(tbl_RawSales[[#This Row],[Order Date]])</f>
        <v>4</v>
      </c>
      <c r="M597" t="str">
        <f>TEXT(tbl_RawSales[[#This Row],[Order Date]],"ddd")</f>
        <v>Sun</v>
      </c>
      <c r="N597">
        <f>WEEKDAY(tbl_RawSales[[#This Row],[Order Date]],2)</f>
        <v>7</v>
      </c>
    </row>
    <row r="598" spans="1:14" x14ac:dyDescent="0.25">
      <c r="A598" t="s">
        <v>648</v>
      </c>
      <c r="B598" s="20">
        <v>45576</v>
      </c>
      <c r="C598" t="s">
        <v>97</v>
      </c>
      <c r="D598" t="s">
        <v>29</v>
      </c>
      <c r="E598" t="s">
        <v>18</v>
      </c>
      <c r="F598" t="s">
        <v>19</v>
      </c>
      <c r="G598">
        <v>2</v>
      </c>
      <c r="H598" s="1">
        <v>9.99</v>
      </c>
      <c r="I598" s="1">
        <v>19.98</v>
      </c>
      <c r="J598">
        <v>5</v>
      </c>
      <c r="K598" t="str">
        <f>TEXT(tbl_RawSales[[#This Row],[Order Date]],"mmm")</f>
        <v>Oct</v>
      </c>
      <c r="L598">
        <f>MONTH(tbl_RawSales[[#This Row],[Order Date]])</f>
        <v>10</v>
      </c>
      <c r="M598" t="str">
        <f>TEXT(tbl_RawSales[[#This Row],[Order Date]],"ddd")</f>
        <v>Fri</v>
      </c>
      <c r="N598">
        <f>WEEKDAY(tbl_RawSales[[#This Row],[Order Date]],2)</f>
        <v>5</v>
      </c>
    </row>
    <row r="599" spans="1:14" x14ac:dyDescent="0.25">
      <c r="A599" t="s">
        <v>649</v>
      </c>
      <c r="B599" s="20">
        <v>45469</v>
      </c>
      <c r="C599" t="s">
        <v>34</v>
      </c>
      <c r="D599" t="s">
        <v>12</v>
      </c>
      <c r="E599" t="s">
        <v>39</v>
      </c>
      <c r="F599" t="s">
        <v>14</v>
      </c>
      <c r="G599">
        <v>1</v>
      </c>
      <c r="H599" s="1">
        <v>24.99</v>
      </c>
      <c r="I599" s="1">
        <v>24.99</v>
      </c>
      <c r="J599">
        <v>5</v>
      </c>
      <c r="K599" t="str">
        <f>TEXT(tbl_RawSales[[#This Row],[Order Date]],"mmm")</f>
        <v>Jun</v>
      </c>
      <c r="L599">
        <f>MONTH(tbl_RawSales[[#This Row],[Order Date]])</f>
        <v>6</v>
      </c>
      <c r="M599" t="str">
        <f>TEXT(tbl_RawSales[[#This Row],[Order Date]],"ddd")</f>
        <v>Wed</v>
      </c>
      <c r="N599">
        <f>WEEKDAY(tbl_RawSales[[#This Row],[Order Date]],2)</f>
        <v>3</v>
      </c>
    </row>
    <row r="600" spans="1:14" x14ac:dyDescent="0.25">
      <c r="A600" t="s">
        <v>650</v>
      </c>
      <c r="B600" s="20">
        <v>45985</v>
      </c>
      <c r="C600" t="s">
        <v>11</v>
      </c>
      <c r="D600" t="s">
        <v>29</v>
      </c>
      <c r="E600" t="s">
        <v>52</v>
      </c>
      <c r="F600" t="s">
        <v>19</v>
      </c>
      <c r="G600">
        <v>3</v>
      </c>
      <c r="H600" s="1">
        <v>6.99</v>
      </c>
      <c r="I600" s="1">
        <v>20.97</v>
      </c>
      <c r="J600">
        <v>2</v>
      </c>
      <c r="K600" t="str">
        <f>TEXT(tbl_RawSales[[#This Row],[Order Date]],"mmm")</f>
        <v>Nov</v>
      </c>
      <c r="L600">
        <f>MONTH(tbl_RawSales[[#This Row],[Order Date]])</f>
        <v>11</v>
      </c>
      <c r="M600" t="str">
        <f>TEXT(tbl_RawSales[[#This Row],[Order Date]],"ddd")</f>
        <v>Mon</v>
      </c>
      <c r="N600">
        <f>WEEKDAY(tbl_RawSales[[#This Row],[Order Date]],2)</f>
        <v>1</v>
      </c>
    </row>
    <row r="601" spans="1:14" x14ac:dyDescent="0.25">
      <c r="A601" t="s">
        <v>651</v>
      </c>
      <c r="B601" s="20">
        <v>45874</v>
      </c>
      <c r="C601" t="s">
        <v>21</v>
      </c>
      <c r="D601" t="s">
        <v>29</v>
      </c>
      <c r="E601" t="s">
        <v>36</v>
      </c>
      <c r="F601" t="s">
        <v>14</v>
      </c>
      <c r="G601">
        <v>3</v>
      </c>
      <c r="H601" s="1">
        <v>16.989999999999998</v>
      </c>
      <c r="I601" s="1">
        <v>50.97</v>
      </c>
      <c r="J601">
        <v>4</v>
      </c>
      <c r="K601" t="str">
        <f>TEXT(tbl_RawSales[[#This Row],[Order Date]],"mmm")</f>
        <v>Aug</v>
      </c>
      <c r="L601">
        <f>MONTH(tbl_RawSales[[#This Row],[Order Date]])</f>
        <v>8</v>
      </c>
      <c r="M601" t="str">
        <f>TEXT(tbl_RawSales[[#This Row],[Order Date]],"ddd")</f>
        <v>Tue</v>
      </c>
      <c r="N601">
        <f>WEEKDAY(tbl_RawSales[[#This Row],[Order Date]],2)</f>
        <v>2</v>
      </c>
    </row>
    <row r="602" spans="1:14" x14ac:dyDescent="0.25">
      <c r="A602" t="s">
        <v>652</v>
      </c>
      <c r="B602" s="20">
        <v>45429</v>
      </c>
      <c r="C602" t="s">
        <v>32</v>
      </c>
      <c r="D602" t="s">
        <v>17</v>
      </c>
      <c r="E602" t="s">
        <v>79</v>
      </c>
      <c r="F602" t="s">
        <v>67</v>
      </c>
      <c r="G602">
        <v>3</v>
      </c>
      <c r="H602" s="1">
        <v>10.99</v>
      </c>
      <c r="I602" s="1">
        <v>32.97</v>
      </c>
      <c r="J602">
        <v>5</v>
      </c>
      <c r="K602" t="str">
        <f>TEXT(tbl_RawSales[[#This Row],[Order Date]],"mmm")</f>
        <v>May</v>
      </c>
      <c r="L602">
        <f>MONTH(tbl_RawSales[[#This Row],[Order Date]])</f>
        <v>5</v>
      </c>
      <c r="M602" t="str">
        <f>TEXT(tbl_RawSales[[#This Row],[Order Date]],"ddd")</f>
        <v>Fri</v>
      </c>
      <c r="N602">
        <f>WEEKDAY(tbl_RawSales[[#This Row],[Order Date]],2)</f>
        <v>5</v>
      </c>
    </row>
    <row r="603" spans="1:14" x14ac:dyDescent="0.25">
      <c r="A603" t="s">
        <v>653</v>
      </c>
      <c r="B603" s="20">
        <v>45930</v>
      </c>
      <c r="C603" t="s">
        <v>11</v>
      </c>
      <c r="D603" t="s">
        <v>12</v>
      </c>
      <c r="E603" t="s">
        <v>57</v>
      </c>
      <c r="F603" t="s">
        <v>14</v>
      </c>
      <c r="G603">
        <v>1</v>
      </c>
      <c r="H603" s="1">
        <v>15.99</v>
      </c>
      <c r="I603" s="1">
        <v>15.99</v>
      </c>
      <c r="J603">
        <v>1</v>
      </c>
      <c r="K603" t="str">
        <f>TEXT(tbl_RawSales[[#This Row],[Order Date]],"mmm")</f>
        <v>Sept</v>
      </c>
      <c r="L603">
        <f>MONTH(tbl_RawSales[[#This Row],[Order Date]])</f>
        <v>9</v>
      </c>
      <c r="M603" t="str">
        <f>TEXT(tbl_RawSales[[#This Row],[Order Date]],"ddd")</f>
        <v>Tue</v>
      </c>
      <c r="N603">
        <f>WEEKDAY(tbl_RawSales[[#This Row],[Order Date]],2)</f>
        <v>2</v>
      </c>
    </row>
    <row r="604" spans="1:14" x14ac:dyDescent="0.25">
      <c r="A604" t="s">
        <v>654</v>
      </c>
      <c r="B604" s="20">
        <v>45529</v>
      </c>
      <c r="C604" t="s">
        <v>32</v>
      </c>
      <c r="D604" t="s">
        <v>12</v>
      </c>
      <c r="E604" t="s">
        <v>55</v>
      </c>
      <c r="F604" t="s">
        <v>23</v>
      </c>
      <c r="G604">
        <v>3</v>
      </c>
      <c r="H604" s="1">
        <v>10.99</v>
      </c>
      <c r="I604" s="1">
        <v>32.97</v>
      </c>
      <c r="J604">
        <v>3</v>
      </c>
      <c r="K604" t="str">
        <f>TEXT(tbl_RawSales[[#This Row],[Order Date]],"mmm")</f>
        <v>Aug</v>
      </c>
      <c r="L604">
        <f>MONTH(tbl_RawSales[[#This Row],[Order Date]])</f>
        <v>8</v>
      </c>
      <c r="M604" t="str">
        <f>TEXT(tbl_RawSales[[#This Row],[Order Date]],"ddd")</f>
        <v>Sun</v>
      </c>
      <c r="N604">
        <f>WEEKDAY(tbl_RawSales[[#This Row],[Order Date]],2)</f>
        <v>7</v>
      </c>
    </row>
    <row r="605" spans="1:14" x14ac:dyDescent="0.25">
      <c r="A605" t="s">
        <v>655</v>
      </c>
      <c r="B605" s="20">
        <v>45908</v>
      </c>
      <c r="C605" t="s">
        <v>45</v>
      </c>
      <c r="D605" t="s">
        <v>17</v>
      </c>
      <c r="E605" t="s">
        <v>83</v>
      </c>
      <c r="F605" t="s">
        <v>14</v>
      </c>
      <c r="G605">
        <v>2</v>
      </c>
      <c r="H605" s="1">
        <v>17.989999999999998</v>
      </c>
      <c r="I605" s="1">
        <v>35.979999999999997</v>
      </c>
      <c r="J605">
        <v>5</v>
      </c>
      <c r="K605" t="str">
        <f>TEXT(tbl_RawSales[[#This Row],[Order Date]],"mmm")</f>
        <v>Sept</v>
      </c>
      <c r="L605">
        <f>MONTH(tbl_RawSales[[#This Row],[Order Date]])</f>
        <v>9</v>
      </c>
      <c r="M605" t="str">
        <f>TEXT(tbl_RawSales[[#This Row],[Order Date]],"ddd")</f>
        <v>Mon</v>
      </c>
      <c r="N605">
        <f>WEEKDAY(tbl_RawSales[[#This Row],[Order Date]],2)</f>
        <v>1</v>
      </c>
    </row>
    <row r="606" spans="1:14" x14ac:dyDescent="0.25">
      <c r="A606" t="s">
        <v>656</v>
      </c>
      <c r="B606" s="20">
        <v>45718</v>
      </c>
      <c r="C606" t="s">
        <v>16</v>
      </c>
      <c r="D606" t="s">
        <v>29</v>
      </c>
      <c r="E606" t="s">
        <v>30</v>
      </c>
      <c r="F606" t="s">
        <v>19</v>
      </c>
      <c r="G606">
        <v>2</v>
      </c>
      <c r="H606" s="1">
        <v>7.99</v>
      </c>
      <c r="I606" s="1">
        <v>15.98</v>
      </c>
      <c r="J606">
        <v>3</v>
      </c>
      <c r="K606" t="str">
        <f>TEXT(tbl_RawSales[[#This Row],[Order Date]],"mmm")</f>
        <v>Mar</v>
      </c>
      <c r="L606">
        <f>MONTH(tbl_RawSales[[#This Row],[Order Date]])</f>
        <v>3</v>
      </c>
      <c r="M606" t="str">
        <f>TEXT(tbl_RawSales[[#This Row],[Order Date]],"ddd")</f>
        <v>Sun</v>
      </c>
      <c r="N606">
        <f>WEEKDAY(tbl_RawSales[[#This Row],[Order Date]],2)</f>
        <v>7</v>
      </c>
    </row>
    <row r="607" spans="1:14" x14ac:dyDescent="0.25">
      <c r="A607" t="s">
        <v>657</v>
      </c>
      <c r="B607" s="20">
        <v>45526</v>
      </c>
      <c r="C607" t="s">
        <v>11</v>
      </c>
      <c r="D607" t="s">
        <v>17</v>
      </c>
      <c r="E607" t="s">
        <v>50</v>
      </c>
      <c r="F607" t="s">
        <v>14</v>
      </c>
      <c r="G607">
        <v>1</v>
      </c>
      <c r="H607" s="1">
        <v>22.99</v>
      </c>
      <c r="I607" s="1">
        <v>22.99</v>
      </c>
      <c r="J607">
        <v>5</v>
      </c>
      <c r="K607" t="str">
        <f>TEXT(tbl_RawSales[[#This Row],[Order Date]],"mmm")</f>
        <v>Aug</v>
      </c>
      <c r="L607">
        <f>MONTH(tbl_RawSales[[#This Row],[Order Date]])</f>
        <v>8</v>
      </c>
      <c r="M607" t="str">
        <f>TEXT(tbl_RawSales[[#This Row],[Order Date]],"ddd")</f>
        <v>Thu</v>
      </c>
      <c r="N607">
        <f>WEEKDAY(tbl_RawSales[[#This Row],[Order Date]],2)</f>
        <v>4</v>
      </c>
    </row>
    <row r="608" spans="1:14" x14ac:dyDescent="0.25">
      <c r="A608" t="s">
        <v>658</v>
      </c>
      <c r="B608" s="20">
        <v>45429</v>
      </c>
      <c r="C608" t="s">
        <v>11</v>
      </c>
      <c r="D608" t="s">
        <v>29</v>
      </c>
      <c r="E608" t="s">
        <v>41</v>
      </c>
      <c r="F608" t="s">
        <v>23</v>
      </c>
      <c r="G608">
        <v>1</v>
      </c>
      <c r="H608" s="1">
        <v>12.99</v>
      </c>
      <c r="I608" s="1">
        <v>12.99</v>
      </c>
      <c r="J608">
        <v>3</v>
      </c>
      <c r="K608" t="str">
        <f>TEXT(tbl_RawSales[[#This Row],[Order Date]],"mmm")</f>
        <v>May</v>
      </c>
      <c r="L608">
        <f>MONTH(tbl_RawSales[[#This Row],[Order Date]])</f>
        <v>5</v>
      </c>
      <c r="M608" t="str">
        <f>TEXT(tbl_RawSales[[#This Row],[Order Date]],"ddd")</f>
        <v>Fri</v>
      </c>
      <c r="N608">
        <f>WEEKDAY(tbl_RawSales[[#This Row],[Order Date]],2)</f>
        <v>5</v>
      </c>
    </row>
    <row r="609" spans="1:14" x14ac:dyDescent="0.25">
      <c r="A609" t="s">
        <v>659</v>
      </c>
      <c r="B609" s="20">
        <v>45441</v>
      </c>
      <c r="C609" t="s">
        <v>38</v>
      </c>
      <c r="D609" t="s">
        <v>12</v>
      </c>
      <c r="E609" t="s">
        <v>46</v>
      </c>
      <c r="F609" t="s">
        <v>14</v>
      </c>
      <c r="G609">
        <v>2</v>
      </c>
      <c r="H609" s="1">
        <v>32.99</v>
      </c>
      <c r="I609" s="1">
        <v>65.98</v>
      </c>
      <c r="J609">
        <v>4</v>
      </c>
      <c r="K609" t="str">
        <f>TEXT(tbl_RawSales[[#This Row],[Order Date]],"mmm")</f>
        <v>May</v>
      </c>
      <c r="L609">
        <f>MONTH(tbl_RawSales[[#This Row],[Order Date]])</f>
        <v>5</v>
      </c>
      <c r="M609" t="str">
        <f>TEXT(tbl_RawSales[[#This Row],[Order Date]],"ddd")</f>
        <v>Wed</v>
      </c>
      <c r="N609">
        <f>WEEKDAY(tbl_RawSales[[#This Row],[Order Date]],2)</f>
        <v>3</v>
      </c>
    </row>
    <row r="610" spans="1:14" x14ac:dyDescent="0.25">
      <c r="A610" t="s">
        <v>660</v>
      </c>
      <c r="B610" s="20">
        <v>45731</v>
      </c>
      <c r="C610" t="s">
        <v>34</v>
      </c>
      <c r="D610" t="s">
        <v>12</v>
      </c>
      <c r="E610" t="s">
        <v>22</v>
      </c>
      <c r="F610" t="s">
        <v>23</v>
      </c>
      <c r="G610">
        <v>2</v>
      </c>
      <c r="H610" s="1">
        <v>8.99</v>
      </c>
      <c r="I610" s="1">
        <v>17.98</v>
      </c>
      <c r="J610">
        <v>5</v>
      </c>
      <c r="K610" t="str">
        <f>TEXT(tbl_RawSales[[#This Row],[Order Date]],"mmm")</f>
        <v>Mar</v>
      </c>
      <c r="L610">
        <f>MONTH(tbl_RawSales[[#This Row],[Order Date]])</f>
        <v>3</v>
      </c>
      <c r="M610" t="str">
        <f>TEXT(tbl_RawSales[[#This Row],[Order Date]],"ddd")</f>
        <v>Sat</v>
      </c>
      <c r="N610">
        <f>WEEKDAY(tbl_RawSales[[#This Row],[Order Date]],2)</f>
        <v>6</v>
      </c>
    </row>
    <row r="611" spans="1:14" x14ac:dyDescent="0.25">
      <c r="A611" t="s">
        <v>661</v>
      </c>
      <c r="B611" s="20">
        <v>45611</v>
      </c>
      <c r="C611" t="s">
        <v>16</v>
      </c>
      <c r="D611" t="s">
        <v>12</v>
      </c>
      <c r="E611" t="s">
        <v>83</v>
      </c>
      <c r="F611" t="s">
        <v>14</v>
      </c>
      <c r="G611">
        <v>1</v>
      </c>
      <c r="H611" s="1">
        <v>17.989999999999998</v>
      </c>
      <c r="I611" s="1">
        <v>17.989999999999998</v>
      </c>
      <c r="J611">
        <v>5</v>
      </c>
      <c r="K611" t="str">
        <f>TEXT(tbl_RawSales[[#This Row],[Order Date]],"mmm")</f>
        <v>Nov</v>
      </c>
      <c r="L611">
        <f>MONTH(tbl_RawSales[[#This Row],[Order Date]])</f>
        <v>11</v>
      </c>
      <c r="M611" t="str">
        <f>TEXT(tbl_RawSales[[#This Row],[Order Date]],"ddd")</f>
        <v>Fri</v>
      </c>
      <c r="N611">
        <f>WEEKDAY(tbl_RawSales[[#This Row],[Order Date]],2)</f>
        <v>5</v>
      </c>
    </row>
    <row r="612" spans="1:14" x14ac:dyDescent="0.25">
      <c r="A612" t="s">
        <v>662</v>
      </c>
      <c r="B612" s="20">
        <v>45794</v>
      </c>
      <c r="C612" t="s">
        <v>32</v>
      </c>
      <c r="D612" t="s">
        <v>29</v>
      </c>
      <c r="E612" t="s">
        <v>36</v>
      </c>
      <c r="F612" t="s">
        <v>14</v>
      </c>
      <c r="G612">
        <v>2</v>
      </c>
      <c r="H612" s="1">
        <v>16.989999999999998</v>
      </c>
      <c r="I612" s="1">
        <v>33.979999999999997</v>
      </c>
      <c r="J612">
        <v>4</v>
      </c>
      <c r="K612" t="str">
        <f>TEXT(tbl_RawSales[[#This Row],[Order Date]],"mmm")</f>
        <v>May</v>
      </c>
      <c r="L612">
        <f>MONTH(tbl_RawSales[[#This Row],[Order Date]])</f>
        <v>5</v>
      </c>
      <c r="M612" t="str">
        <f>TEXT(tbl_RawSales[[#This Row],[Order Date]],"ddd")</f>
        <v>Sat</v>
      </c>
      <c r="N612">
        <f>WEEKDAY(tbl_RawSales[[#This Row],[Order Date]],2)</f>
        <v>6</v>
      </c>
    </row>
    <row r="613" spans="1:14" x14ac:dyDescent="0.25">
      <c r="A613" t="s">
        <v>663</v>
      </c>
      <c r="B613" s="20">
        <v>45458</v>
      </c>
      <c r="C613" t="s">
        <v>45</v>
      </c>
      <c r="D613" t="s">
        <v>17</v>
      </c>
      <c r="E613" t="s">
        <v>22</v>
      </c>
      <c r="F613" t="s">
        <v>23</v>
      </c>
      <c r="G613">
        <v>3</v>
      </c>
      <c r="H613" s="1">
        <v>8.99</v>
      </c>
      <c r="I613" s="1">
        <v>26.97</v>
      </c>
      <c r="J613">
        <v>4</v>
      </c>
      <c r="K613" t="str">
        <f>TEXT(tbl_RawSales[[#This Row],[Order Date]],"mmm")</f>
        <v>Jun</v>
      </c>
      <c r="L613">
        <f>MONTH(tbl_RawSales[[#This Row],[Order Date]])</f>
        <v>6</v>
      </c>
      <c r="M613" t="str">
        <f>TEXT(tbl_RawSales[[#This Row],[Order Date]],"ddd")</f>
        <v>Sat</v>
      </c>
      <c r="N613">
        <f>WEEKDAY(tbl_RawSales[[#This Row],[Order Date]],2)</f>
        <v>6</v>
      </c>
    </row>
    <row r="614" spans="1:14" x14ac:dyDescent="0.25">
      <c r="A614" t="s">
        <v>664</v>
      </c>
      <c r="B614" s="20">
        <v>45749</v>
      </c>
      <c r="C614" t="s">
        <v>34</v>
      </c>
      <c r="D614" t="s">
        <v>17</v>
      </c>
      <c r="E614" t="s">
        <v>52</v>
      </c>
      <c r="F614" t="s">
        <v>19</v>
      </c>
      <c r="G614">
        <v>3</v>
      </c>
      <c r="H614" s="1">
        <v>6.99</v>
      </c>
      <c r="I614" s="1">
        <v>20.97</v>
      </c>
      <c r="J614">
        <v>4</v>
      </c>
      <c r="K614" t="str">
        <f>TEXT(tbl_RawSales[[#This Row],[Order Date]],"mmm")</f>
        <v>Apr</v>
      </c>
      <c r="L614">
        <f>MONTH(tbl_RawSales[[#This Row],[Order Date]])</f>
        <v>4</v>
      </c>
      <c r="M614" t="str">
        <f>TEXT(tbl_RawSales[[#This Row],[Order Date]],"ddd")</f>
        <v>Wed</v>
      </c>
      <c r="N614">
        <f>WEEKDAY(tbl_RawSales[[#This Row],[Order Date]],2)</f>
        <v>3</v>
      </c>
    </row>
    <row r="615" spans="1:14" x14ac:dyDescent="0.25">
      <c r="A615" t="s">
        <v>665</v>
      </c>
      <c r="B615" s="20">
        <v>45748</v>
      </c>
      <c r="C615" t="s">
        <v>32</v>
      </c>
      <c r="D615" t="s">
        <v>12</v>
      </c>
      <c r="E615" t="s">
        <v>36</v>
      </c>
      <c r="F615" t="s">
        <v>14</v>
      </c>
      <c r="G615">
        <v>1</v>
      </c>
      <c r="H615" s="1">
        <v>16.989999999999998</v>
      </c>
      <c r="I615" s="1">
        <v>16.989999999999998</v>
      </c>
      <c r="J615">
        <v>2</v>
      </c>
      <c r="K615" t="str">
        <f>TEXT(tbl_RawSales[[#This Row],[Order Date]],"mmm")</f>
        <v>Apr</v>
      </c>
      <c r="L615">
        <f>MONTH(tbl_RawSales[[#This Row],[Order Date]])</f>
        <v>4</v>
      </c>
      <c r="M615" t="str">
        <f>TEXT(tbl_RawSales[[#This Row],[Order Date]],"ddd")</f>
        <v>Tue</v>
      </c>
      <c r="N615">
        <f>WEEKDAY(tbl_RawSales[[#This Row],[Order Date]],2)</f>
        <v>2</v>
      </c>
    </row>
    <row r="616" spans="1:14" x14ac:dyDescent="0.25">
      <c r="A616" t="s">
        <v>666</v>
      </c>
      <c r="B616" s="20">
        <v>45371</v>
      </c>
      <c r="C616" t="s">
        <v>38</v>
      </c>
      <c r="D616" t="s">
        <v>12</v>
      </c>
      <c r="E616" t="s">
        <v>39</v>
      </c>
      <c r="F616" t="s">
        <v>14</v>
      </c>
      <c r="G616">
        <v>1</v>
      </c>
      <c r="H616" s="1">
        <v>24.99</v>
      </c>
      <c r="I616" s="1">
        <v>24.99</v>
      </c>
      <c r="J616">
        <v>4</v>
      </c>
      <c r="K616" t="str">
        <f>TEXT(tbl_RawSales[[#This Row],[Order Date]],"mmm")</f>
        <v>Mar</v>
      </c>
      <c r="L616">
        <f>MONTH(tbl_RawSales[[#This Row],[Order Date]])</f>
        <v>3</v>
      </c>
      <c r="M616" t="str">
        <f>TEXT(tbl_RawSales[[#This Row],[Order Date]],"ddd")</f>
        <v>Wed</v>
      </c>
      <c r="N616">
        <f>WEEKDAY(tbl_RawSales[[#This Row],[Order Date]],2)</f>
        <v>3</v>
      </c>
    </row>
    <row r="617" spans="1:14" x14ac:dyDescent="0.25">
      <c r="A617" t="s">
        <v>667</v>
      </c>
      <c r="B617" s="20">
        <v>45688</v>
      </c>
      <c r="C617" t="s">
        <v>32</v>
      </c>
      <c r="D617" t="s">
        <v>12</v>
      </c>
      <c r="E617" t="s">
        <v>39</v>
      </c>
      <c r="F617" t="s">
        <v>14</v>
      </c>
      <c r="G617">
        <v>2</v>
      </c>
      <c r="H617" s="1">
        <v>24.99</v>
      </c>
      <c r="I617" s="1">
        <v>49.98</v>
      </c>
      <c r="J617">
        <v>4</v>
      </c>
      <c r="K617" t="str">
        <f>TEXT(tbl_RawSales[[#This Row],[Order Date]],"mmm")</f>
        <v>Jan</v>
      </c>
      <c r="L617">
        <f>MONTH(tbl_RawSales[[#This Row],[Order Date]])</f>
        <v>1</v>
      </c>
      <c r="M617" t="str">
        <f>TEXT(tbl_RawSales[[#This Row],[Order Date]],"ddd")</f>
        <v>Fri</v>
      </c>
      <c r="N617">
        <f>WEEKDAY(tbl_RawSales[[#This Row],[Order Date]],2)</f>
        <v>5</v>
      </c>
    </row>
    <row r="618" spans="1:14" x14ac:dyDescent="0.25">
      <c r="A618" t="s">
        <v>668</v>
      </c>
      <c r="B618" s="20">
        <v>45442</v>
      </c>
      <c r="C618" t="s">
        <v>32</v>
      </c>
      <c r="D618" t="s">
        <v>17</v>
      </c>
      <c r="E618" t="s">
        <v>55</v>
      </c>
      <c r="F618" t="s">
        <v>23</v>
      </c>
      <c r="G618">
        <v>2</v>
      </c>
      <c r="H618" s="1">
        <v>10.99</v>
      </c>
      <c r="I618" s="1">
        <v>21.98</v>
      </c>
      <c r="J618">
        <v>5</v>
      </c>
      <c r="K618" t="str">
        <f>TEXT(tbl_RawSales[[#This Row],[Order Date]],"mmm")</f>
        <v>May</v>
      </c>
      <c r="L618">
        <f>MONTH(tbl_RawSales[[#This Row],[Order Date]])</f>
        <v>5</v>
      </c>
      <c r="M618" t="str">
        <f>TEXT(tbl_RawSales[[#This Row],[Order Date]],"ddd")</f>
        <v>Thu</v>
      </c>
      <c r="N618">
        <f>WEEKDAY(tbl_RawSales[[#This Row],[Order Date]],2)</f>
        <v>4</v>
      </c>
    </row>
    <row r="619" spans="1:14" x14ac:dyDescent="0.25">
      <c r="A619" t="s">
        <v>669</v>
      </c>
      <c r="B619" s="20">
        <v>45951</v>
      </c>
      <c r="C619" t="s">
        <v>21</v>
      </c>
      <c r="D619" t="s">
        <v>17</v>
      </c>
      <c r="E619" t="s">
        <v>62</v>
      </c>
      <c r="F619" t="s">
        <v>23</v>
      </c>
      <c r="G619">
        <v>1</v>
      </c>
      <c r="H619" s="1">
        <v>9.99</v>
      </c>
      <c r="I619" s="1">
        <v>9.99</v>
      </c>
      <c r="J619">
        <v>3</v>
      </c>
      <c r="K619" t="str">
        <f>TEXT(tbl_RawSales[[#This Row],[Order Date]],"mmm")</f>
        <v>Oct</v>
      </c>
      <c r="L619">
        <f>MONTH(tbl_RawSales[[#This Row],[Order Date]])</f>
        <v>10</v>
      </c>
      <c r="M619" t="str">
        <f>TEXT(tbl_RawSales[[#This Row],[Order Date]],"ddd")</f>
        <v>Tue</v>
      </c>
      <c r="N619">
        <f>WEEKDAY(tbl_RawSales[[#This Row],[Order Date]],2)</f>
        <v>2</v>
      </c>
    </row>
    <row r="620" spans="1:14" x14ac:dyDescent="0.25">
      <c r="A620" t="s">
        <v>670</v>
      </c>
      <c r="B620" s="20">
        <v>45711</v>
      </c>
      <c r="C620" t="s">
        <v>45</v>
      </c>
      <c r="D620" t="s">
        <v>12</v>
      </c>
      <c r="E620" t="s">
        <v>119</v>
      </c>
      <c r="F620" t="s">
        <v>19</v>
      </c>
      <c r="G620">
        <v>1</v>
      </c>
      <c r="H620" s="1">
        <v>4.99</v>
      </c>
      <c r="I620" s="1">
        <v>4.99</v>
      </c>
      <c r="J620">
        <v>5</v>
      </c>
      <c r="K620" t="str">
        <f>TEXT(tbl_RawSales[[#This Row],[Order Date]],"mmm")</f>
        <v>Feb</v>
      </c>
      <c r="L620">
        <f>MONTH(tbl_RawSales[[#This Row],[Order Date]])</f>
        <v>2</v>
      </c>
      <c r="M620" t="str">
        <f>TEXT(tbl_RawSales[[#This Row],[Order Date]],"ddd")</f>
        <v>Sun</v>
      </c>
      <c r="N620">
        <f>WEEKDAY(tbl_RawSales[[#This Row],[Order Date]],2)</f>
        <v>7</v>
      </c>
    </row>
    <row r="621" spans="1:14" x14ac:dyDescent="0.25">
      <c r="A621" t="s">
        <v>671</v>
      </c>
      <c r="B621" s="20">
        <v>45553</v>
      </c>
      <c r="C621" t="s">
        <v>11</v>
      </c>
      <c r="D621" t="s">
        <v>12</v>
      </c>
      <c r="E621" t="s">
        <v>18</v>
      </c>
      <c r="F621" t="s">
        <v>19</v>
      </c>
      <c r="G621">
        <v>1</v>
      </c>
      <c r="H621" s="1">
        <v>9.99</v>
      </c>
      <c r="I621" s="1">
        <v>9.99</v>
      </c>
      <c r="J621">
        <v>4</v>
      </c>
      <c r="K621" t="str">
        <f>TEXT(tbl_RawSales[[#This Row],[Order Date]],"mmm")</f>
        <v>Sept</v>
      </c>
      <c r="L621">
        <f>MONTH(tbl_RawSales[[#This Row],[Order Date]])</f>
        <v>9</v>
      </c>
      <c r="M621" t="str">
        <f>TEXT(tbl_RawSales[[#This Row],[Order Date]],"ddd")</f>
        <v>Wed</v>
      </c>
      <c r="N621">
        <f>WEEKDAY(tbl_RawSales[[#This Row],[Order Date]],2)</f>
        <v>3</v>
      </c>
    </row>
    <row r="622" spans="1:14" x14ac:dyDescent="0.25">
      <c r="A622" t="s">
        <v>672</v>
      </c>
      <c r="B622" s="20">
        <v>45974</v>
      </c>
      <c r="C622" t="s">
        <v>97</v>
      </c>
      <c r="D622" t="s">
        <v>17</v>
      </c>
      <c r="E622" t="s">
        <v>50</v>
      </c>
      <c r="F622" t="s">
        <v>14</v>
      </c>
      <c r="G622">
        <v>4</v>
      </c>
      <c r="H622" s="1">
        <v>22.99</v>
      </c>
      <c r="I622" s="1">
        <v>91.96</v>
      </c>
      <c r="J622">
        <v>4</v>
      </c>
      <c r="K622" t="str">
        <f>TEXT(tbl_RawSales[[#This Row],[Order Date]],"mmm")</f>
        <v>Nov</v>
      </c>
      <c r="L622">
        <f>MONTH(tbl_RawSales[[#This Row],[Order Date]])</f>
        <v>11</v>
      </c>
      <c r="M622" t="str">
        <f>TEXT(tbl_RawSales[[#This Row],[Order Date]],"ddd")</f>
        <v>Thu</v>
      </c>
      <c r="N622">
        <f>WEEKDAY(tbl_RawSales[[#This Row],[Order Date]],2)</f>
        <v>4</v>
      </c>
    </row>
    <row r="623" spans="1:14" x14ac:dyDescent="0.25">
      <c r="A623" t="s">
        <v>673</v>
      </c>
      <c r="B623" s="20">
        <v>45435</v>
      </c>
      <c r="C623" t="s">
        <v>11</v>
      </c>
      <c r="D623" t="s">
        <v>29</v>
      </c>
      <c r="E623" t="s">
        <v>13</v>
      </c>
      <c r="F623" t="s">
        <v>14</v>
      </c>
      <c r="G623">
        <v>1</v>
      </c>
      <c r="H623" s="1">
        <v>18.989999999999998</v>
      </c>
      <c r="I623" s="1">
        <v>18.989999999999998</v>
      </c>
      <c r="J623">
        <v>3</v>
      </c>
      <c r="K623" t="str">
        <f>TEXT(tbl_RawSales[[#This Row],[Order Date]],"mmm")</f>
        <v>May</v>
      </c>
      <c r="L623">
        <f>MONTH(tbl_RawSales[[#This Row],[Order Date]])</f>
        <v>5</v>
      </c>
      <c r="M623" t="str">
        <f>TEXT(tbl_RawSales[[#This Row],[Order Date]],"ddd")</f>
        <v>Thu</v>
      </c>
      <c r="N623">
        <f>WEEKDAY(tbl_RawSales[[#This Row],[Order Date]],2)</f>
        <v>4</v>
      </c>
    </row>
    <row r="624" spans="1:14" x14ac:dyDescent="0.25">
      <c r="A624" t="s">
        <v>674</v>
      </c>
      <c r="B624" s="20">
        <v>45660</v>
      </c>
      <c r="C624" t="s">
        <v>45</v>
      </c>
      <c r="D624" t="s">
        <v>17</v>
      </c>
      <c r="E624" t="s">
        <v>22</v>
      </c>
      <c r="F624" t="s">
        <v>23</v>
      </c>
      <c r="G624">
        <v>2</v>
      </c>
      <c r="H624" s="1">
        <v>8.99</v>
      </c>
      <c r="I624" s="1">
        <v>17.98</v>
      </c>
      <c r="J624">
        <v>5</v>
      </c>
      <c r="K624" t="str">
        <f>TEXT(tbl_RawSales[[#This Row],[Order Date]],"mmm")</f>
        <v>Jan</v>
      </c>
      <c r="L624">
        <f>MONTH(tbl_RawSales[[#This Row],[Order Date]])</f>
        <v>1</v>
      </c>
      <c r="M624" t="str">
        <f>TEXT(tbl_RawSales[[#This Row],[Order Date]],"ddd")</f>
        <v>Fri</v>
      </c>
      <c r="N624">
        <f>WEEKDAY(tbl_RawSales[[#This Row],[Order Date]],2)</f>
        <v>5</v>
      </c>
    </row>
    <row r="625" spans="1:14" x14ac:dyDescent="0.25">
      <c r="A625" t="s">
        <v>675</v>
      </c>
      <c r="B625" s="20">
        <v>45842</v>
      </c>
      <c r="C625" t="s">
        <v>28</v>
      </c>
      <c r="D625" t="s">
        <v>17</v>
      </c>
      <c r="E625" t="s">
        <v>43</v>
      </c>
      <c r="F625" t="s">
        <v>23</v>
      </c>
      <c r="G625">
        <v>1</v>
      </c>
      <c r="H625" s="1">
        <v>11.99</v>
      </c>
      <c r="I625" s="1">
        <v>11.99</v>
      </c>
      <c r="J625">
        <v>3</v>
      </c>
      <c r="K625" t="str">
        <f>TEXT(tbl_RawSales[[#This Row],[Order Date]],"mmm")</f>
        <v>Jul</v>
      </c>
      <c r="L625">
        <f>MONTH(tbl_RawSales[[#This Row],[Order Date]])</f>
        <v>7</v>
      </c>
      <c r="M625" t="str">
        <f>TEXT(tbl_RawSales[[#This Row],[Order Date]],"ddd")</f>
        <v>Fri</v>
      </c>
      <c r="N625">
        <f>WEEKDAY(tbl_RawSales[[#This Row],[Order Date]],2)</f>
        <v>5</v>
      </c>
    </row>
    <row r="626" spans="1:14" x14ac:dyDescent="0.25">
      <c r="A626" t="s">
        <v>676</v>
      </c>
      <c r="B626" s="20">
        <v>45430</v>
      </c>
      <c r="C626" t="s">
        <v>11</v>
      </c>
      <c r="D626" t="s">
        <v>12</v>
      </c>
      <c r="E626" t="s">
        <v>43</v>
      </c>
      <c r="F626" t="s">
        <v>23</v>
      </c>
      <c r="G626">
        <v>2</v>
      </c>
      <c r="H626" s="1">
        <v>11.99</v>
      </c>
      <c r="I626" s="1">
        <v>23.98</v>
      </c>
      <c r="J626">
        <v>4</v>
      </c>
      <c r="K626" t="str">
        <f>TEXT(tbl_RawSales[[#This Row],[Order Date]],"mmm")</f>
        <v>May</v>
      </c>
      <c r="L626">
        <f>MONTH(tbl_RawSales[[#This Row],[Order Date]])</f>
        <v>5</v>
      </c>
      <c r="M626" t="str">
        <f>TEXT(tbl_RawSales[[#This Row],[Order Date]],"ddd")</f>
        <v>Sat</v>
      </c>
      <c r="N626">
        <f>WEEKDAY(tbl_RawSales[[#This Row],[Order Date]],2)</f>
        <v>6</v>
      </c>
    </row>
    <row r="627" spans="1:14" x14ac:dyDescent="0.25">
      <c r="A627" t="s">
        <v>677</v>
      </c>
      <c r="B627" s="20">
        <v>45929</v>
      </c>
      <c r="C627" t="s">
        <v>28</v>
      </c>
      <c r="D627" t="s">
        <v>12</v>
      </c>
      <c r="E627" t="s">
        <v>52</v>
      </c>
      <c r="F627" t="s">
        <v>19</v>
      </c>
      <c r="G627">
        <v>2</v>
      </c>
      <c r="H627" s="1">
        <v>6.99</v>
      </c>
      <c r="I627" s="1">
        <v>13.98</v>
      </c>
      <c r="J627">
        <v>3</v>
      </c>
      <c r="K627" t="str">
        <f>TEXT(tbl_RawSales[[#This Row],[Order Date]],"mmm")</f>
        <v>Sept</v>
      </c>
      <c r="L627">
        <f>MONTH(tbl_RawSales[[#This Row],[Order Date]])</f>
        <v>9</v>
      </c>
      <c r="M627" t="str">
        <f>TEXT(tbl_RawSales[[#This Row],[Order Date]],"ddd")</f>
        <v>Mon</v>
      </c>
      <c r="N627">
        <f>WEEKDAY(tbl_RawSales[[#This Row],[Order Date]],2)</f>
        <v>1</v>
      </c>
    </row>
    <row r="628" spans="1:14" x14ac:dyDescent="0.25">
      <c r="A628" t="s">
        <v>678</v>
      </c>
      <c r="B628" s="20">
        <v>45366</v>
      </c>
      <c r="C628" t="s">
        <v>28</v>
      </c>
      <c r="D628" t="s">
        <v>12</v>
      </c>
      <c r="E628" t="s">
        <v>36</v>
      </c>
      <c r="F628" t="s">
        <v>14</v>
      </c>
      <c r="G628">
        <v>1</v>
      </c>
      <c r="H628" s="1">
        <v>16.989999999999998</v>
      </c>
      <c r="I628" s="1">
        <v>16.989999999999998</v>
      </c>
      <c r="J628">
        <v>4</v>
      </c>
      <c r="K628" t="str">
        <f>TEXT(tbl_RawSales[[#This Row],[Order Date]],"mmm")</f>
        <v>Mar</v>
      </c>
      <c r="L628">
        <f>MONTH(tbl_RawSales[[#This Row],[Order Date]])</f>
        <v>3</v>
      </c>
      <c r="M628" t="str">
        <f>TEXT(tbl_RawSales[[#This Row],[Order Date]],"ddd")</f>
        <v>Fri</v>
      </c>
      <c r="N628">
        <f>WEEKDAY(tbl_RawSales[[#This Row],[Order Date]],2)</f>
        <v>5</v>
      </c>
    </row>
    <row r="629" spans="1:14" x14ac:dyDescent="0.25">
      <c r="A629" t="s">
        <v>679</v>
      </c>
      <c r="B629" s="20">
        <v>45536</v>
      </c>
      <c r="C629" t="s">
        <v>11</v>
      </c>
      <c r="D629" t="s">
        <v>29</v>
      </c>
      <c r="E629" t="s">
        <v>176</v>
      </c>
      <c r="F629" t="s">
        <v>67</v>
      </c>
      <c r="G629">
        <v>2</v>
      </c>
      <c r="H629" s="1">
        <v>11.99</v>
      </c>
      <c r="I629" s="1">
        <v>23.98</v>
      </c>
      <c r="J629">
        <v>3</v>
      </c>
      <c r="K629" t="str">
        <f>TEXT(tbl_RawSales[[#This Row],[Order Date]],"mmm")</f>
        <v>Sept</v>
      </c>
      <c r="L629">
        <f>MONTH(tbl_RawSales[[#This Row],[Order Date]])</f>
        <v>9</v>
      </c>
      <c r="M629" t="str">
        <f>TEXT(tbl_RawSales[[#This Row],[Order Date]],"ddd")</f>
        <v>Sun</v>
      </c>
      <c r="N629">
        <f>WEEKDAY(tbl_RawSales[[#This Row],[Order Date]],2)</f>
        <v>7</v>
      </c>
    </row>
    <row r="630" spans="1:14" x14ac:dyDescent="0.25">
      <c r="A630" t="s">
        <v>680</v>
      </c>
      <c r="B630" s="20">
        <v>45466</v>
      </c>
      <c r="C630" t="s">
        <v>25</v>
      </c>
      <c r="D630" t="s">
        <v>29</v>
      </c>
      <c r="E630" t="s">
        <v>142</v>
      </c>
      <c r="F630" t="s">
        <v>23</v>
      </c>
      <c r="G630">
        <v>2</v>
      </c>
      <c r="H630" s="1">
        <v>14.99</v>
      </c>
      <c r="I630" s="1">
        <v>29.98</v>
      </c>
      <c r="J630">
        <v>5</v>
      </c>
      <c r="K630" t="str">
        <f>TEXT(tbl_RawSales[[#This Row],[Order Date]],"mmm")</f>
        <v>Jun</v>
      </c>
      <c r="L630">
        <f>MONTH(tbl_RawSales[[#This Row],[Order Date]])</f>
        <v>6</v>
      </c>
      <c r="M630" t="str">
        <f>TEXT(tbl_RawSales[[#This Row],[Order Date]],"ddd")</f>
        <v>Sun</v>
      </c>
      <c r="N630">
        <f>WEEKDAY(tbl_RawSales[[#This Row],[Order Date]],2)</f>
        <v>7</v>
      </c>
    </row>
    <row r="631" spans="1:14" x14ac:dyDescent="0.25">
      <c r="A631" t="s">
        <v>681</v>
      </c>
      <c r="B631" s="20">
        <v>45700</v>
      </c>
      <c r="C631" t="s">
        <v>97</v>
      </c>
      <c r="D631" t="s">
        <v>12</v>
      </c>
      <c r="E631" t="s">
        <v>26</v>
      </c>
      <c r="F631" t="s">
        <v>19</v>
      </c>
      <c r="G631">
        <v>1</v>
      </c>
      <c r="H631" s="1">
        <v>3.49</v>
      </c>
      <c r="I631" s="1">
        <v>3.49</v>
      </c>
      <c r="J631">
        <v>5</v>
      </c>
      <c r="K631" t="str">
        <f>TEXT(tbl_RawSales[[#This Row],[Order Date]],"mmm")</f>
        <v>Feb</v>
      </c>
      <c r="L631">
        <f>MONTH(tbl_RawSales[[#This Row],[Order Date]])</f>
        <v>2</v>
      </c>
      <c r="M631" t="str">
        <f>TEXT(tbl_RawSales[[#This Row],[Order Date]],"ddd")</f>
        <v>Wed</v>
      </c>
      <c r="N631">
        <f>WEEKDAY(tbl_RawSales[[#This Row],[Order Date]],2)</f>
        <v>3</v>
      </c>
    </row>
    <row r="632" spans="1:14" x14ac:dyDescent="0.25">
      <c r="A632" t="s">
        <v>682</v>
      </c>
      <c r="B632" s="20">
        <v>45406</v>
      </c>
      <c r="C632" t="s">
        <v>34</v>
      </c>
      <c r="D632" t="s">
        <v>12</v>
      </c>
      <c r="E632" t="s">
        <v>221</v>
      </c>
      <c r="F632" t="s">
        <v>67</v>
      </c>
      <c r="G632">
        <v>1</v>
      </c>
      <c r="H632" s="1">
        <v>9.99</v>
      </c>
      <c r="I632" s="1">
        <v>9.99</v>
      </c>
      <c r="J632">
        <v>2</v>
      </c>
      <c r="K632" t="str">
        <f>TEXT(tbl_RawSales[[#This Row],[Order Date]],"mmm")</f>
        <v>Apr</v>
      </c>
      <c r="L632">
        <f>MONTH(tbl_RawSales[[#This Row],[Order Date]])</f>
        <v>4</v>
      </c>
      <c r="M632" t="str">
        <f>TEXT(tbl_RawSales[[#This Row],[Order Date]],"ddd")</f>
        <v>Wed</v>
      </c>
      <c r="N632">
        <f>WEEKDAY(tbl_RawSales[[#This Row],[Order Date]],2)</f>
        <v>3</v>
      </c>
    </row>
    <row r="633" spans="1:14" x14ac:dyDescent="0.25">
      <c r="A633" t="s">
        <v>683</v>
      </c>
      <c r="B633" s="20">
        <v>45620</v>
      </c>
      <c r="C633" t="s">
        <v>28</v>
      </c>
      <c r="D633" t="s">
        <v>12</v>
      </c>
      <c r="E633" t="s">
        <v>79</v>
      </c>
      <c r="F633" t="s">
        <v>67</v>
      </c>
      <c r="G633">
        <v>1</v>
      </c>
      <c r="H633" s="1">
        <v>10.99</v>
      </c>
      <c r="I633" s="1">
        <v>10.99</v>
      </c>
      <c r="J633">
        <v>3</v>
      </c>
      <c r="K633" t="str">
        <f>TEXT(tbl_RawSales[[#This Row],[Order Date]],"mmm")</f>
        <v>Nov</v>
      </c>
      <c r="L633">
        <f>MONTH(tbl_RawSales[[#This Row],[Order Date]])</f>
        <v>11</v>
      </c>
      <c r="M633" t="str">
        <f>TEXT(tbl_RawSales[[#This Row],[Order Date]],"ddd")</f>
        <v>Sun</v>
      </c>
      <c r="N633">
        <f>WEEKDAY(tbl_RawSales[[#This Row],[Order Date]],2)</f>
        <v>7</v>
      </c>
    </row>
    <row r="634" spans="1:14" x14ac:dyDescent="0.25">
      <c r="A634" t="s">
        <v>684</v>
      </c>
      <c r="B634" s="20">
        <v>46021</v>
      </c>
      <c r="C634" t="s">
        <v>16</v>
      </c>
      <c r="D634" t="s">
        <v>29</v>
      </c>
      <c r="E634" t="s">
        <v>36</v>
      </c>
      <c r="F634" t="s">
        <v>14</v>
      </c>
      <c r="G634">
        <v>1</v>
      </c>
      <c r="H634" s="1">
        <v>16.989999999999998</v>
      </c>
      <c r="I634" s="1">
        <v>16.989999999999998</v>
      </c>
      <c r="J634">
        <v>2</v>
      </c>
      <c r="K634" t="str">
        <f>TEXT(tbl_RawSales[[#This Row],[Order Date]],"mmm")</f>
        <v>Dec</v>
      </c>
      <c r="L634">
        <f>MONTH(tbl_RawSales[[#This Row],[Order Date]])</f>
        <v>12</v>
      </c>
      <c r="M634" t="str">
        <f>TEXT(tbl_RawSales[[#This Row],[Order Date]],"ddd")</f>
        <v>Tue</v>
      </c>
      <c r="N634">
        <f>WEEKDAY(tbl_RawSales[[#This Row],[Order Date]],2)</f>
        <v>2</v>
      </c>
    </row>
    <row r="635" spans="1:14" x14ac:dyDescent="0.25">
      <c r="A635" t="s">
        <v>685</v>
      </c>
      <c r="B635" s="20">
        <v>45920</v>
      </c>
      <c r="C635" t="s">
        <v>32</v>
      </c>
      <c r="D635" t="s">
        <v>12</v>
      </c>
      <c r="E635" t="s">
        <v>119</v>
      </c>
      <c r="F635" t="s">
        <v>19</v>
      </c>
      <c r="G635">
        <v>2</v>
      </c>
      <c r="H635" s="1">
        <v>4.99</v>
      </c>
      <c r="I635" s="1">
        <v>9.98</v>
      </c>
      <c r="J635">
        <v>5</v>
      </c>
      <c r="K635" t="str">
        <f>TEXT(tbl_RawSales[[#This Row],[Order Date]],"mmm")</f>
        <v>Sept</v>
      </c>
      <c r="L635">
        <f>MONTH(tbl_RawSales[[#This Row],[Order Date]])</f>
        <v>9</v>
      </c>
      <c r="M635" t="str">
        <f>TEXT(tbl_RawSales[[#This Row],[Order Date]],"ddd")</f>
        <v>Sat</v>
      </c>
      <c r="N635">
        <f>WEEKDAY(tbl_RawSales[[#This Row],[Order Date]],2)</f>
        <v>6</v>
      </c>
    </row>
    <row r="636" spans="1:14" x14ac:dyDescent="0.25">
      <c r="A636" t="s">
        <v>686</v>
      </c>
      <c r="B636" s="20">
        <v>45950</v>
      </c>
      <c r="C636" t="s">
        <v>32</v>
      </c>
      <c r="D636" t="s">
        <v>17</v>
      </c>
      <c r="E636" t="s">
        <v>13</v>
      </c>
      <c r="F636" t="s">
        <v>14</v>
      </c>
      <c r="G636">
        <v>1</v>
      </c>
      <c r="H636" s="1">
        <v>18.989999999999998</v>
      </c>
      <c r="I636" s="1">
        <v>18.989999999999998</v>
      </c>
      <c r="J636">
        <v>4</v>
      </c>
      <c r="K636" t="str">
        <f>TEXT(tbl_RawSales[[#This Row],[Order Date]],"mmm")</f>
        <v>Oct</v>
      </c>
      <c r="L636">
        <f>MONTH(tbl_RawSales[[#This Row],[Order Date]])</f>
        <v>10</v>
      </c>
      <c r="M636" t="str">
        <f>TEXT(tbl_RawSales[[#This Row],[Order Date]],"ddd")</f>
        <v>Mon</v>
      </c>
      <c r="N636">
        <f>WEEKDAY(tbl_RawSales[[#This Row],[Order Date]],2)</f>
        <v>1</v>
      </c>
    </row>
    <row r="637" spans="1:14" x14ac:dyDescent="0.25">
      <c r="A637" t="s">
        <v>687</v>
      </c>
      <c r="B637" s="20">
        <v>45795</v>
      </c>
      <c r="C637" t="s">
        <v>97</v>
      </c>
      <c r="D637" t="s">
        <v>29</v>
      </c>
      <c r="E637" t="s">
        <v>18</v>
      </c>
      <c r="F637" t="s">
        <v>19</v>
      </c>
      <c r="G637">
        <v>1</v>
      </c>
      <c r="H637" s="1">
        <v>9.99</v>
      </c>
      <c r="I637" s="1">
        <v>9.99</v>
      </c>
      <c r="J637">
        <v>4</v>
      </c>
      <c r="K637" t="str">
        <f>TEXT(tbl_RawSales[[#This Row],[Order Date]],"mmm")</f>
        <v>May</v>
      </c>
      <c r="L637">
        <f>MONTH(tbl_RawSales[[#This Row],[Order Date]])</f>
        <v>5</v>
      </c>
      <c r="M637" t="str">
        <f>TEXT(tbl_RawSales[[#This Row],[Order Date]],"ddd")</f>
        <v>Sun</v>
      </c>
      <c r="N637">
        <f>WEEKDAY(tbl_RawSales[[#This Row],[Order Date]],2)</f>
        <v>7</v>
      </c>
    </row>
    <row r="638" spans="1:14" x14ac:dyDescent="0.25">
      <c r="A638" t="s">
        <v>688</v>
      </c>
      <c r="B638" s="20">
        <v>45733</v>
      </c>
      <c r="C638" t="s">
        <v>25</v>
      </c>
      <c r="D638" t="s">
        <v>29</v>
      </c>
      <c r="E638" t="s">
        <v>26</v>
      </c>
      <c r="F638" t="s">
        <v>19</v>
      </c>
      <c r="G638">
        <v>1</v>
      </c>
      <c r="H638" s="1">
        <v>3.49</v>
      </c>
      <c r="I638" s="1">
        <v>3.49</v>
      </c>
      <c r="J638">
        <v>5</v>
      </c>
      <c r="K638" t="str">
        <f>TEXT(tbl_RawSales[[#This Row],[Order Date]],"mmm")</f>
        <v>Mar</v>
      </c>
      <c r="L638">
        <f>MONTH(tbl_RawSales[[#This Row],[Order Date]])</f>
        <v>3</v>
      </c>
      <c r="M638" t="str">
        <f>TEXT(tbl_RawSales[[#This Row],[Order Date]],"ddd")</f>
        <v>Mon</v>
      </c>
      <c r="N638">
        <f>WEEKDAY(tbl_RawSales[[#This Row],[Order Date]],2)</f>
        <v>1</v>
      </c>
    </row>
    <row r="639" spans="1:14" x14ac:dyDescent="0.25">
      <c r="A639" t="s">
        <v>689</v>
      </c>
      <c r="B639" s="20">
        <v>45990</v>
      </c>
      <c r="C639" t="s">
        <v>97</v>
      </c>
      <c r="D639" t="s">
        <v>29</v>
      </c>
      <c r="E639" t="s">
        <v>18</v>
      </c>
      <c r="F639" t="s">
        <v>19</v>
      </c>
      <c r="G639">
        <v>3</v>
      </c>
      <c r="H639" s="1">
        <v>9.99</v>
      </c>
      <c r="I639" s="1">
        <v>29.97</v>
      </c>
      <c r="J639">
        <v>5</v>
      </c>
      <c r="K639" t="str">
        <f>TEXT(tbl_RawSales[[#This Row],[Order Date]],"mmm")</f>
        <v>Nov</v>
      </c>
      <c r="L639">
        <f>MONTH(tbl_RawSales[[#This Row],[Order Date]])</f>
        <v>11</v>
      </c>
      <c r="M639" t="str">
        <f>TEXT(tbl_RawSales[[#This Row],[Order Date]],"ddd")</f>
        <v>Sat</v>
      </c>
      <c r="N639">
        <f>WEEKDAY(tbl_RawSales[[#This Row],[Order Date]],2)</f>
        <v>6</v>
      </c>
    </row>
    <row r="640" spans="1:14" x14ac:dyDescent="0.25">
      <c r="A640" t="s">
        <v>690</v>
      </c>
      <c r="B640" s="20">
        <v>45536</v>
      </c>
      <c r="C640" t="s">
        <v>97</v>
      </c>
      <c r="D640" t="s">
        <v>12</v>
      </c>
      <c r="E640" t="s">
        <v>46</v>
      </c>
      <c r="F640" t="s">
        <v>14</v>
      </c>
      <c r="G640">
        <v>1</v>
      </c>
      <c r="H640" s="1">
        <v>32.99</v>
      </c>
      <c r="I640" s="1">
        <v>32.99</v>
      </c>
      <c r="J640">
        <v>5</v>
      </c>
      <c r="K640" t="str">
        <f>TEXT(tbl_RawSales[[#This Row],[Order Date]],"mmm")</f>
        <v>Sept</v>
      </c>
      <c r="L640">
        <f>MONTH(tbl_RawSales[[#This Row],[Order Date]])</f>
        <v>9</v>
      </c>
      <c r="M640" t="str">
        <f>TEXT(tbl_RawSales[[#This Row],[Order Date]],"ddd")</f>
        <v>Sun</v>
      </c>
      <c r="N640">
        <f>WEEKDAY(tbl_RawSales[[#This Row],[Order Date]],2)</f>
        <v>7</v>
      </c>
    </row>
    <row r="641" spans="1:14" x14ac:dyDescent="0.25">
      <c r="A641" t="s">
        <v>691</v>
      </c>
      <c r="B641" s="20">
        <v>45865</v>
      </c>
      <c r="C641" t="s">
        <v>32</v>
      </c>
      <c r="D641" t="s">
        <v>29</v>
      </c>
      <c r="E641" t="s">
        <v>176</v>
      </c>
      <c r="F641" t="s">
        <v>67</v>
      </c>
      <c r="G641">
        <v>1</v>
      </c>
      <c r="H641" s="1">
        <v>11.99</v>
      </c>
      <c r="I641" s="1">
        <v>11.99</v>
      </c>
      <c r="J641">
        <v>4</v>
      </c>
      <c r="K641" t="str">
        <f>TEXT(tbl_RawSales[[#This Row],[Order Date]],"mmm")</f>
        <v>Jul</v>
      </c>
      <c r="L641">
        <f>MONTH(tbl_RawSales[[#This Row],[Order Date]])</f>
        <v>7</v>
      </c>
      <c r="M641" t="str">
        <f>TEXT(tbl_RawSales[[#This Row],[Order Date]],"ddd")</f>
        <v>Sun</v>
      </c>
      <c r="N641">
        <f>WEEKDAY(tbl_RawSales[[#This Row],[Order Date]],2)</f>
        <v>7</v>
      </c>
    </row>
    <row r="642" spans="1:14" x14ac:dyDescent="0.25">
      <c r="A642" t="s">
        <v>692</v>
      </c>
      <c r="B642" s="20">
        <v>45920</v>
      </c>
      <c r="C642" t="s">
        <v>28</v>
      </c>
      <c r="D642" t="s">
        <v>29</v>
      </c>
      <c r="E642" t="s">
        <v>119</v>
      </c>
      <c r="F642" t="s">
        <v>19</v>
      </c>
      <c r="G642">
        <v>2</v>
      </c>
      <c r="H642" s="1">
        <v>4.99</v>
      </c>
      <c r="I642" s="1">
        <v>9.98</v>
      </c>
      <c r="J642">
        <v>4</v>
      </c>
      <c r="K642" t="str">
        <f>TEXT(tbl_RawSales[[#This Row],[Order Date]],"mmm")</f>
        <v>Sept</v>
      </c>
      <c r="L642">
        <f>MONTH(tbl_RawSales[[#This Row],[Order Date]])</f>
        <v>9</v>
      </c>
      <c r="M642" t="str">
        <f>TEXT(tbl_RawSales[[#This Row],[Order Date]],"ddd")</f>
        <v>Sat</v>
      </c>
      <c r="N642">
        <f>WEEKDAY(tbl_RawSales[[#This Row],[Order Date]],2)</f>
        <v>6</v>
      </c>
    </row>
    <row r="643" spans="1:14" x14ac:dyDescent="0.25">
      <c r="A643" t="s">
        <v>693</v>
      </c>
      <c r="B643" s="20">
        <v>45813</v>
      </c>
      <c r="C643" t="s">
        <v>97</v>
      </c>
      <c r="D643" t="s">
        <v>12</v>
      </c>
      <c r="E643" t="s">
        <v>46</v>
      </c>
      <c r="F643" t="s">
        <v>14</v>
      </c>
      <c r="G643">
        <v>1</v>
      </c>
      <c r="H643" s="1">
        <v>32.99</v>
      </c>
      <c r="I643" s="1">
        <v>32.99</v>
      </c>
      <c r="J643">
        <v>5</v>
      </c>
      <c r="K643" t="str">
        <f>TEXT(tbl_RawSales[[#This Row],[Order Date]],"mmm")</f>
        <v>Jun</v>
      </c>
      <c r="L643">
        <f>MONTH(tbl_RawSales[[#This Row],[Order Date]])</f>
        <v>6</v>
      </c>
      <c r="M643" t="str">
        <f>TEXT(tbl_RawSales[[#This Row],[Order Date]],"ddd")</f>
        <v>Thu</v>
      </c>
      <c r="N643">
        <f>WEEKDAY(tbl_RawSales[[#This Row],[Order Date]],2)</f>
        <v>4</v>
      </c>
    </row>
    <row r="644" spans="1:14" x14ac:dyDescent="0.25">
      <c r="A644" t="s">
        <v>694</v>
      </c>
      <c r="B644" s="20">
        <v>45542</v>
      </c>
      <c r="C644" t="s">
        <v>45</v>
      </c>
      <c r="D644" t="s">
        <v>29</v>
      </c>
      <c r="E644" t="s">
        <v>50</v>
      </c>
      <c r="F644" t="s">
        <v>14</v>
      </c>
      <c r="G644">
        <v>2</v>
      </c>
      <c r="H644" s="1">
        <v>22.99</v>
      </c>
      <c r="I644" s="1">
        <v>45.98</v>
      </c>
      <c r="J644">
        <v>2</v>
      </c>
      <c r="K644" t="str">
        <f>TEXT(tbl_RawSales[[#This Row],[Order Date]],"mmm")</f>
        <v>Sept</v>
      </c>
      <c r="L644">
        <f>MONTH(tbl_RawSales[[#This Row],[Order Date]])</f>
        <v>9</v>
      </c>
      <c r="M644" t="str">
        <f>TEXT(tbl_RawSales[[#This Row],[Order Date]],"ddd")</f>
        <v>Sat</v>
      </c>
      <c r="N644">
        <f>WEEKDAY(tbl_RawSales[[#This Row],[Order Date]],2)</f>
        <v>6</v>
      </c>
    </row>
    <row r="645" spans="1:14" x14ac:dyDescent="0.25">
      <c r="A645" t="s">
        <v>695</v>
      </c>
      <c r="B645" s="20">
        <v>45616</v>
      </c>
      <c r="C645" t="s">
        <v>11</v>
      </c>
      <c r="D645" t="s">
        <v>12</v>
      </c>
      <c r="E645" t="s">
        <v>57</v>
      </c>
      <c r="F645" t="s">
        <v>14</v>
      </c>
      <c r="G645">
        <v>1</v>
      </c>
      <c r="H645" s="1">
        <v>15.99</v>
      </c>
      <c r="I645" s="1">
        <v>15.99</v>
      </c>
      <c r="J645">
        <v>4</v>
      </c>
      <c r="K645" t="str">
        <f>TEXT(tbl_RawSales[[#This Row],[Order Date]],"mmm")</f>
        <v>Nov</v>
      </c>
      <c r="L645">
        <f>MONTH(tbl_RawSales[[#This Row],[Order Date]])</f>
        <v>11</v>
      </c>
      <c r="M645" t="str">
        <f>TEXT(tbl_RawSales[[#This Row],[Order Date]],"ddd")</f>
        <v>Wed</v>
      </c>
      <c r="N645">
        <f>WEEKDAY(tbl_RawSales[[#This Row],[Order Date]],2)</f>
        <v>3</v>
      </c>
    </row>
    <row r="646" spans="1:14" x14ac:dyDescent="0.25">
      <c r="A646" t="s">
        <v>696</v>
      </c>
      <c r="B646" s="20">
        <v>45680</v>
      </c>
      <c r="C646" t="s">
        <v>97</v>
      </c>
      <c r="D646" t="s">
        <v>29</v>
      </c>
      <c r="E646" t="s">
        <v>66</v>
      </c>
      <c r="F646" t="s">
        <v>67</v>
      </c>
      <c r="G646">
        <v>1</v>
      </c>
      <c r="H646" s="1">
        <v>7.99</v>
      </c>
      <c r="I646" s="1">
        <v>7.99</v>
      </c>
      <c r="J646">
        <v>5</v>
      </c>
      <c r="K646" t="str">
        <f>TEXT(tbl_RawSales[[#This Row],[Order Date]],"mmm")</f>
        <v>Jan</v>
      </c>
      <c r="L646">
        <f>MONTH(tbl_RawSales[[#This Row],[Order Date]])</f>
        <v>1</v>
      </c>
      <c r="M646" t="str">
        <f>TEXT(tbl_RawSales[[#This Row],[Order Date]],"ddd")</f>
        <v>Thu</v>
      </c>
      <c r="N646">
        <f>WEEKDAY(tbl_RawSales[[#This Row],[Order Date]],2)</f>
        <v>4</v>
      </c>
    </row>
    <row r="647" spans="1:14" x14ac:dyDescent="0.25">
      <c r="A647" t="s">
        <v>697</v>
      </c>
      <c r="B647" s="20">
        <v>45713</v>
      </c>
      <c r="C647" t="s">
        <v>32</v>
      </c>
      <c r="D647" t="s">
        <v>29</v>
      </c>
      <c r="E647" t="s">
        <v>83</v>
      </c>
      <c r="F647" t="s">
        <v>14</v>
      </c>
      <c r="G647">
        <v>2</v>
      </c>
      <c r="H647" s="1">
        <v>17.989999999999998</v>
      </c>
      <c r="I647" s="1">
        <v>35.979999999999997</v>
      </c>
      <c r="J647">
        <v>5</v>
      </c>
      <c r="K647" t="str">
        <f>TEXT(tbl_RawSales[[#This Row],[Order Date]],"mmm")</f>
        <v>Feb</v>
      </c>
      <c r="L647">
        <f>MONTH(tbl_RawSales[[#This Row],[Order Date]])</f>
        <v>2</v>
      </c>
      <c r="M647" t="str">
        <f>TEXT(tbl_RawSales[[#This Row],[Order Date]],"ddd")</f>
        <v>Tue</v>
      </c>
      <c r="N647">
        <f>WEEKDAY(tbl_RawSales[[#This Row],[Order Date]],2)</f>
        <v>2</v>
      </c>
    </row>
    <row r="648" spans="1:14" x14ac:dyDescent="0.25">
      <c r="A648" t="s">
        <v>698</v>
      </c>
      <c r="B648" s="20">
        <v>45927</v>
      </c>
      <c r="C648" t="s">
        <v>16</v>
      </c>
      <c r="D648" t="s">
        <v>29</v>
      </c>
      <c r="E648" t="s">
        <v>52</v>
      </c>
      <c r="F648" t="s">
        <v>19</v>
      </c>
      <c r="G648">
        <v>3</v>
      </c>
      <c r="H648" s="1">
        <v>6.99</v>
      </c>
      <c r="I648" s="1">
        <v>20.97</v>
      </c>
      <c r="J648">
        <v>3</v>
      </c>
      <c r="K648" t="str">
        <f>TEXT(tbl_RawSales[[#This Row],[Order Date]],"mmm")</f>
        <v>Sept</v>
      </c>
      <c r="L648">
        <f>MONTH(tbl_RawSales[[#This Row],[Order Date]])</f>
        <v>9</v>
      </c>
      <c r="M648" t="str">
        <f>TEXT(tbl_RawSales[[#This Row],[Order Date]],"ddd")</f>
        <v>Sat</v>
      </c>
      <c r="N648">
        <f>WEEKDAY(tbl_RawSales[[#This Row],[Order Date]],2)</f>
        <v>6</v>
      </c>
    </row>
    <row r="649" spans="1:14" x14ac:dyDescent="0.25">
      <c r="A649" t="s">
        <v>699</v>
      </c>
      <c r="B649" s="20">
        <v>45394</v>
      </c>
      <c r="C649" t="s">
        <v>16</v>
      </c>
      <c r="D649" t="s">
        <v>17</v>
      </c>
      <c r="E649" t="s">
        <v>66</v>
      </c>
      <c r="F649" t="s">
        <v>67</v>
      </c>
      <c r="G649">
        <v>3</v>
      </c>
      <c r="H649" s="1">
        <v>7.99</v>
      </c>
      <c r="I649" s="1">
        <v>23.97</v>
      </c>
      <c r="J649">
        <v>4</v>
      </c>
      <c r="K649" t="str">
        <f>TEXT(tbl_RawSales[[#This Row],[Order Date]],"mmm")</f>
        <v>Apr</v>
      </c>
      <c r="L649">
        <f>MONTH(tbl_RawSales[[#This Row],[Order Date]])</f>
        <v>4</v>
      </c>
      <c r="M649" t="str">
        <f>TEXT(tbl_RawSales[[#This Row],[Order Date]],"ddd")</f>
        <v>Fri</v>
      </c>
      <c r="N649">
        <f>WEEKDAY(tbl_RawSales[[#This Row],[Order Date]],2)</f>
        <v>5</v>
      </c>
    </row>
    <row r="650" spans="1:14" x14ac:dyDescent="0.25">
      <c r="A650" t="s">
        <v>700</v>
      </c>
      <c r="B650" s="20">
        <v>45716</v>
      </c>
      <c r="C650" t="s">
        <v>25</v>
      </c>
      <c r="D650" t="s">
        <v>29</v>
      </c>
      <c r="E650" t="s">
        <v>176</v>
      </c>
      <c r="F650" t="s">
        <v>67</v>
      </c>
      <c r="G650">
        <v>1</v>
      </c>
      <c r="H650" s="1">
        <v>11.99</v>
      </c>
      <c r="I650" s="1">
        <v>11.99</v>
      </c>
      <c r="J650">
        <v>4</v>
      </c>
      <c r="K650" t="str">
        <f>TEXT(tbl_RawSales[[#This Row],[Order Date]],"mmm")</f>
        <v>Feb</v>
      </c>
      <c r="L650">
        <f>MONTH(tbl_RawSales[[#This Row],[Order Date]])</f>
        <v>2</v>
      </c>
      <c r="M650" t="str">
        <f>TEXT(tbl_RawSales[[#This Row],[Order Date]],"ddd")</f>
        <v>Fri</v>
      </c>
      <c r="N650">
        <f>WEEKDAY(tbl_RawSales[[#This Row],[Order Date]],2)</f>
        <v>5</v>
      </c>
    </row>
    <row r="651" spans="1:14" x14ac:dyDescent="0.25">
      <c r="A651" t="s">
        <v>701</v>
      </c>
      <c r="B651" s="20">
        <v>45350</v>
      </c>
      <c r="C651" t="s">
        <v>16</v>
      </c>
      <c r="D651" t="s">
        <v>17</v>
      </c>
      <c r="E651" t="s">
        <v>26</v>
      </c>
      <c r="F651" t="s">
        <v>19</v>
      </c>
      <c r="G651">
        <v>2</v>
      </c>
      <c r="H651" s="1">
        <v>3.49</v>
      </c>
      <c r="I651" s="1">
        <v>6.98</v>
      </c>
      <c r="J651">
        <v>5</v>
      </c>
      <c r="K651" t="str">
        <f>TEXT(tbl_RawSales[[#This Row],[Order Date]],"mmm")</f>
        <v>Feb</v>
      </c>
      <c r="L651">
        <f>MONTH(tbl_RawSales[[#This Row],[Order Date]])</f>
        <v>2</v>
      </c>
      <c r="M651" t="str">
        <f>TEXT(tbl_RawSales[[#This Row],[Order Date]],"ddd")</f>
        <v>Wed</v>
      </c>
      <c r="N651">
        <f>WEEKDAY(tbl_RawSales[[#This Row],[Order Date]],2)</f>
        <v>3</v>
      </c>
    </row>
    <row r="652" spans="1:14" x14ac:dyDescent="0.25">
      <c r="A652" t="s">
        <v>702</v>
      </c>
      <c r="B652" s="20">
        <v>45389</v>
      </c>
      <c r="C652" t="s">
        <v>38</v>
      </c>
      <c r="D652" t="s">
        <v>29</v>
      </c>
      <c r="E652" t="s">
        <v>13</v>
      </c>
      <c r="F652" t="s">
        <v>14</v>
      </c>
      <c r="G652">
        <v>2</v>
      </c>
      <c r="H652" s="1">
        <v>18.989999999999998</v>
      </c>
      <c r="I652" s="1">
        <v>37.979999999999997</v>
      </c>
      <c r="J652">
        <v>3</v>
      </c>
      <c r="K652" t="str">
        <f>TEXT(tbl_RawSales[[#This Row],[Order Date]],"mmm")</f>
        <v>Apr</v>
      </c>
      <c r="L652">
        <f>MONTH(tbl_RawSales[[#This Row],[Order Date]])</f>
        <v>4</v>
      </c>
      <c r="M652" t="str">
        <f>TEXT(tbl_RawSales[[#This Row],[Order Date]],"ddd")</f>
        <v>Sun</v>
      </c>
      <c r="N652">
        <f>WEEKDAY(tbl_RawSales[[#This Row],[Order Date]],2)</f>
        <v>7</v>
      </c>
    </row>
    <row r="653" spans="1:14" x14ac:dyDescent="0.25">
      <c r="A653" t="s">
        <v>703</v>
      </c>
      <c r="B653" s="20">
        <v>45388</v>
      </c>
      <c r="C653" t="s">
        <v>45</v>
      </c>
      <c r="D653" t="s">
        <v>17</v>
      </c>
      <c r="E653" t="s">
        <v>119</v>
      </c>
      <c r="F653" t="s">
        <v>19</v>
      </c>
      <c r="G653">
        <v>2</v>
      </c>
      <c r="H653" s="1">
        <v>4.99</v>
      </c>
      <c r="I653" s="1">
        <v>9.98</v>
      </c>
      <c r="J653">
        <v>5</v>
      </c>
      <c r="K653" t="str">
        <f>TEXT(tbl_RawSales[[#This Row],[Order Date]],"mmm")</f>
        <v>Apr</v>
      </c>
      <c r="L653">
        <f>MONTH(tbl_RawSales[[#This Row],[Order Date]])</f>
        <v>4</v>
      </c>
      <c r="M653" t="str">
        <f>TEXT(tbl_RawSales[[#This Row],[Order Date]],"ddd")</f>
        <v>Sat</v>
      </c>
      <c r="N653">
        <f>WEEKDAY(tbl_RawSales[[#This Row],[Order Date]],2)</f>
        <v>6</v>
      </c>
    </row>
    <row r="654" spans="1:14" x14ac:dyDescent="0.25">
      <c r="A654" t="s">
        <v>704</v>
      </c>
      <c r="B654" s="20">
        <v>45441</v>
      </c>
      <c r="C654" t="s">
        <v>21</v>
      </c>
      <c r="D654" t="s">
        <v>12</v>
      </c>
      <c r="E654" t="s">
        <v>69</v>
      </c>
      <c r="F654" t="s">
        <v>67</v>
      </c>
      <c r="G654">
        <v>2</v>
      </c>
      <c r="H654" s="1">
        <v>8.99</v>
      </c>
      <c r="I654" s="1">
        <v>17.98</v>
      </c>
      <c r="J654">
        <v>5</v>
      </c>
      <c r="K654" t="str">
        <f>TEXT(tbl_RawSales[[#This Row],[Order Date]],"mmm")</f>
        <v>May</v>
      </c>
      <c r="L654">
        <f>MONTH(tbl_RawSales[[#This Row],[Order Date]])</f>
        <v>5</v>
      </c>
      <c r="M654" t="str">
        <f>TEXT(tbl_RawSales[[#This Row],[Order Date]],"ddd")</f>
        <v>Wed</v>
      </c>
      <c r="N654">
        <f>WEEKDAY(tbl_RawSales[[#This Row],[Order Date]],2)</f>
        <v>3</v>
      </c>
    </row>
    <row r="655" spans="1:14" x14ac:dyDescent="0.25">
      <c r="A655" t="s">
        <v>705</v>
      </c>
      <c r="B655" s="20">
        <v>45444</v>
      </c>
      <c r="C655" t="s">
        <v>21</v>
      </c>
      <c r="D655" t="s">
        <v>12</v>
      </c>
      <c r="E655" t="s">
        <v>62</v>
      </c>
      <c r="F655" t="s">
        <v>23</v>
      </c>
      <c r="G655">
        <v>1</v>
      </c>
      <c r="H655" s="1">
        <v>9.99</v>
      </c>
      <c r="I655" s="1">
        <v>9.99</v>
      </c>
      <c r="J655">
        <v>4</v>
      </c>
      <c r="K655" t="str">
        <f>TEXT(tbl_RawSales[[#This Row],[Order Date]],"mmm")</f>
        <v>Jun</v>
      </c>
      <c r="L655">
        <f>MONTH(tbl_RawSales[[#This Row],[Order Date]])</f>
        <v>6</v>
      </c>
      <c r="M655" t="str">
        <f>TEXT(tbl_RawSales[[#This Row],[Order Date]],"ddd")</f>
        <v>Sat</v>
      </c>
      <c r="N655">
        <f>WEEKDAY(tbl_RawSales[[#This Row],[Order Date]],2)</f>
        <v>6</v>
      </c>
    </row>
    <row r="656" spans="1:14" x14ac:dyDescent="0.25">
      <c r="A656" t="s">
        <v>706</v>
      </c>
      <c r="B656" s="20">
        <v>45956</v>
      </c>
      <c r="C656" t="s">
        <v>34</v>
      </c>
      <c r="D656" t="s">
        <v>29</v>
      </c>
      <c r="E656" t="s">
        <v>36</v>
      </c>
      <c r="F656" t="s">
        <v>14</v>
      </c>
      <c r="G656">
        <v>1</v>
      </c>
      <c r="H656" s="1">
        <v>16.989999999999998</v>
      </c>
      <c r="I656" s="1">
        <v>16.989999999999998</v>
      </c>
      <c r="J656">
        <v>4</v>
      </c>
      <c r="K656" t="str">
        <f>TEXT(tbl_RawSales[[#This Row],[Order Date]],"mmm")</f>
        <v>Oct</v>
      </c>
      <c r="L656">
        <f>MONTH(tbl_RawSales[[#This Row],[Order Date]])</f>
        <v>10</v>
      </c>
      <c r="M656" t="str">
        <f>TEXT(tbl_RawSales[[#This Row],[Order Date]],"ddd")</f>
        <v>Sun</v>
      </c>
      <c r="N656">
        <f>WEEKDAY(tbl_RawSales[[#This Row],[Order Date]],2)</f>
        <v>7</v>
      </c>
    </row>
    <row r="657" spans="1:14" x14ac:dyDescent="0.25">
      <c r="A657" t="s">
        <v>707</v>
      </c>
      <c r="B657" s="20">
        <v>45822</v>
      </c>
      <c r="C657" t="s">
        <v>25</v>
      </c>
      <c r="D657" t="s">
        <v>29</v>
      </c>
      <c r="E657" t="s">
        <v>83</v>
      </c>
      <c r="F657" t="s">
        <v>14</v>
      </c>
      <c r="G657">
        <v>1</v>
      </c>
      <c r="H657" s="1">
        <v>17.989999999999998</v>
      </c>
      <c r="I657" s="1">
        <v>17.989999999999998</v>
      </c>
      <c r="J657">
        <v>3</v>
      </c>
      <c r="K657" t="str">
        <f>TEXT(tbl_RawSales[[#This Row],[Order Date]],"mmm")</f>
        <v>Jun</v>
      </c>
      <c r="L657">
        <f>MONTH(tbl_RawSales[[#This Row],[Order Date]])</f>
        <v>6</v>
      </c>
      <c r="M657" t="str">
        <f>TEXT(tbl_RawSales[[#This Row],[Order Date]],"ddd")</f>
        <v>Sat</v>
      </c>
      <c r="N657">
        <f>WEEKDAY(tbl_RawSales[[#This Row],[Order Date]],2)</f>
        <v>6</v>
      </c>
    </row>
    <row r="658" spans="1:14" x14ac:dyDescent="0.25">
      <c r="A658" t="s">
        <v>708</v>
      </c>
      <c r="B658" s="20">
        <v>45656</v>
      </c>
      <c r="C658" t="s">
        <v>28</v>
      </c>
      <c r="D658" t="s">
        <v>17</v>
      </c>
      <c r="E658" t="s">
        <v>83</v>
      </c>
      <c r="F658" t="s">
        <v>14</v>
      </c>
      <c r="G658">
        <v>1</v>
      </c>
      <c r="H658" s="1">
        <v>17.989999999999998</v>
      </c>
      <c r="I658" s="1">
        <v>17.989999999999998</v>
      </c>
      <c r="J658">
        <v>4</v>
      </c>
      <c r="K658" t="str">
        <f>TEXT(tbl_RawSales[[#This Row],[Order Date]],"mmm")</f>
        <v>Dec</v>
      </c>
      <c r="L658">
        <f>MONTH(tbl_RawSales[[#This Row],[Order Date]])</f>
        <v>12</v>
      </c>
      <c r="M658" t="str">
        <f>TEXT(tbl_RawSales[[#This Row],[Order Date]],"ddd")</f>
        <v>Mon</v>
      </c>
      <c r="N658">
        <f>WEEKDAY(tbl_RawSales[[#This Row],[Order Date]],2)</f>
        <v>1</v>
      </c>
    </row>
    <row r="659" spans="1:14" x14ac:dyDescent="0.25">
      <c r="A659" t="s">
        <v>709</v>
      </c>
      <c r="B659" s="20">
        <v>45473</v>
      </c>
      <c r="C659" t="s">
        <v>32</v>
      </c>
      <c r="D659" t="s">
        <v>17</v>
      </c>
      <c r="E659" t="s">
        <v>83</v>
      </c>
      <c r="F659" t="s">
        <v>14</v>
      </c>
      <c r="G659">
        <v>1</v>
      </c>
      <c r="H659" s="1">
        <v>17.989999999999998</v>
      </c>
      <c r="I659" s="1">
        <v>17.989999999999998</v>
      </c>
      <c r="J659">
        <v>5</v>
      </c>
      <c r="K659" t="str">
        <f>TEXT(tbl_RawSales[[#This Row],[Order Date]],"mmm")</f>
        <v>Jun</v>
      </c>
      <c r="L659">
        <f>MONTH(tbl_RawSales[[#This Row],[Order Date]])</f>
        <v>6</v>
      </c>
      <c r="M659" t="str">
        <f>TEXT(tbl_RawSales[[#This Row],[Order Date]],"ddd")</f>
        <v>Sun</v>
      </c>
      <c r="N659">
        <f>WEEKDAY(tbl_RawSales[[#This Row],[Order Date]],2)</f>
        <v>7</v>
      </c>
    </row>
    <row r="660" spans="1:14" x14ac:dyDescent="0.25">
      <c r="A660" t="s">
        <v>710</v>
      </c>
      <c r="B660" s="20">
        <v>45333</v>
      </c>
      <c r="C660" t="s">
        <v>97</v>
      </c>
      <c r="D660" t="s">
        <v>12</v>
      </c>
      <c r="E660" t="s">
        <v>22</v>
      </c>
      <c r="F660" t="s">
        <v>23</v>
      </c>
      <c r="G660">
        <v>1</v>
      </c>
      <c r="H660" s="1">
        <v>8.99</v>
      </c>
      <c r="I660" s="1">
        <v>8.99</v>
      </c>
      <c r="J660">
        <v>4</v>
      </c>
      <c r="K660" t="str">
        <f>TEXT(tbl_RawSales[[#This Row],[Order Date]],"mmm")</f>
        <v>Feb</v>
      </c>
      <c r="L660">
        <f>MONTH(tbl_RawSales[[#This Row],[Order Date]])</f>
        <v>2</v>
      </c>
      <c r="M660" t="str">
        <f>TEXT(tbl_RawSales[[#This Row],[Order Date]],"ddd")</f>
        <v>Sun</v>
      </c>
      <c r="N660">
        <f>WEEKDAY(tbl_RawSales[[#This Row],[Order Date]],2)</f>
        <v>7</v>
      </c>
    </row>
    <row r="661" spans="1:14" x14ac:dyDescent="0.25">
      <c r="A661" t="s">
        <v>711</v>
      </c>
      <c r="B661" s="20">
        <v>45993</v>
      </c>
      <c r="C661" t="s">
        <v>11</v>
      </c>
      <c r="D661" t="s">
        <v>29</v>
      </c>
      <c r="E661" t="s">
        <v>221</v>
      </c>
      <c r="F661" t="s">
        <v>67</v>
      </c>
      <c r="G661">
        <v>1</v>
      </c>
      <c r="H661" s="1">
        <v>9.99</v>
      </c>
      <c r="I661" s="1">
        <v>9.99</v>
      </c>
      <c r="J661">
        <v>2</v>
      </c>
      <c r="K661" t="str">
        <f>TEXT(tbl_RawSales[[#This Row],[Order Date]],"mmm")</f>
        <v>Dec</v>
      </c>
      <c r="L661">
        <f>MONTH(tbl_RawSales[[#This Row],[Order Date]])</f>
        <v>12</v>
      </c>
      <c r="M661" t="str">
        <f>TEXT(tbl_RawSales[[#This Row],[Order Date]],"ddd")</f>
        <v>Tue</v>
      </c>
      <c r="N661">
        <f>WEEKDAY(tbl_RawSales[[#This Row],[Order Date]],2)</f>
        <v>2</v>
      </c>
    </row>
    <row r="662" spans="1:14" x14ac:dyDescent="0.25">
      <c r="A662" t="s">
        <v>712</v>
      </c>
      <c r="B662" s="20">
        <v>45294</v>
      </c>
      <c r="C662" t="s">
        <v>38</v>
      </c>
      <c r="D662" t="s">
        <v>12</v>
      </c>
      <c r="E662" t="s">
        <v>176</v>
      </c>
      <c r="F662" t="s">
        <v>67</v>
      </c>
      <c r="G662">
        <v>1</v>
      </c>
      <c r="H662" s="1">
        <v>11.99</v>
      </c>
      <c r="I662" s="1">
        <v>11.99</v>
      </c>
      <c r="J662">
        <v>3</v>
      </c>
      <c r="K662" t="str">
        <f>TEXT(tbl_RawSales[[#This Row],[Order Date]],"mmm")</f>
        <v>Jan</v>
      </c>
      <c r="L662">
        <f>MONTH(tbl_RawSales[[#This Row],[Order Date]])</f>
        <v>1</v>
      </c>
      <c r="M662" t="str">
        <f>TEXT(tbl_RawSales[[#This Row],[Order Date]],"ddd")</f>
        <v>Wed</v>
      </c>
      <c r="N662">
        <f>WEEKDAY(tbl_RawSales[[#This Row],[Order Date]],2)</f>
        <v>3</v>
      </c>
    </row>
    <row r="663" spans="1:14" x14ac:dyDescent="0.25">
      <c r="A663" t="s">
        <v>713</v>
      </c>
      <c r="B663" s="20">
        <v>45403</v>
      </c>
      <c r="C663" t="s">
        <v>97</v>
      </c>
      <c r="D663" t="s">
        <v>29</v>
      </c>
      <c r="E663" t="s">
        <v>50</v>
      </c>
      <c r="F663" t="s">
        <v>14</v>
      </c>
      <c r="G663">
        <v>1</v>
      </c>
      <c r="H663" s="1">
        <v>22.99</v>
      </c>
      <c r="I663" s="1">
        <v>22.99</v>
      </c>
      <c r="J663">
        <v>4</v>
      </c>
      <c r="K663" t="str">
        <f>TEXT(tbl_RawSales[[#This Row],[Order Date]],"mmm")</f>
        <v>Apr</v>
      </c>
      <c r="L663">
        <f>MONTH(tbl_RawSales[[#This Row],[Order Date]])</f>
        <v>4</v>
      </c>
      <c r="M663" t="str">
        <f>TEXT(tbl_RawSales[[#This Row],[Order Date]],"ddd")</f>
        <v>Sun</v>
      </c>
      <c r="N663">
        <f>WEEKDAY(tbl_RawSales[[#This Row],[Order Date]],2)</f>
        <v>7</v>
      </c>
    </row>
    <row r="664" spans="1:14" x14ac:dyDescent="0.25">
      <c r="A664" t="s">
        <v>714</v>
      </c>
      <c r="B664" s="20">
        <v>45672</v>
      </c>
      <c r="C664" t="s">
        <v>16</v>
      </c>
      <c r="D664" t="s">
        <v>17</v>
      </c>
      <c r="E664" t="s">
        <v>39</v>
      </c>
      <c r="F664" t="s">
        <v>14</v>
      </c>
      <c r="G664">
        <v>2</v>
      </c>
      <c r="H664" s="1">
        <v>24.99</v>
      </c>
      <c r="I664" s="1">
        <v>49.98</v>
      </c>
      <c r="J664">
        <v>3</v>
      </c>
      <c r="K664" t="str">
        <f>TEXT(tbl_RawSales[[#This Row],[Order Date]],"mmm")</f>
        <v>Jan</v>
      </c>
      <c r="L664">
        <f>MONTH(tbl_RawSales[[#This Row],[Order Date]])</f>
        <v>1</v>
      </c>
      <c r="M664" t="str">
        <f>TEXT(tbl_RawSales[[#This Row],[Order Date]],"ddd")</f>
        <v>Wed</v>
      </c>
      <c r="N664">
        <f>WEEKDAY(tbl_RawSales[[#This Row],[Order Date]],2)</f>
        <v>3</v>
      </c>
    </row>
    <row r="665" spans="1:14" x14ac:dyDescent="0.25">
      <c r="A665" t="s">
        <v>715</v>
      </c>
      <c r="B665" s="20">
        <v>45694</v>
      </c>
      <c r="C665" t="s">
        <v>28</v>
      </c>
      <c r="D665" t="s">
        <v>17</v>
      </c>
      <c r="E665" t="s">
        <v>66</v>
      </c>
      <c r="F665" t="s">
        <v>67</v>
      </c>
      <c r="G665">
        <v>1</v>
      </c>
      <c r="H665" s="1">
        <v>7.99</v>
      </c>
      <c r="I665" s="1">
        <v>7.99</v>
      </c>
      <c r="J665">
        <v>5</v>
      </c>
      <c r="K665" t="str">
        <f>TEXT(tbl_RawSales[[#This Row],[Order Date]],"mmm")</f>
        <v>Feb</v>
      </c>
      <c r="L665">
        <f>MONTH(tbl_RawSales[[#This Row],[Order Date]])</f>
        <v>2</v>
      </c>
      <c r="M665" t="str">
        <f>TEXT(tbl_RawSales[[#This Row],[Order Date]],"ddd")</f>
        <v>Thu</v>
      </c>
      <c r="N665">
        <f>WEEKDAY(tbl_RawSales[[#This Row],[Order Date]],2)</f>
        <v>4</v>
      </c>
    </row>
    <row r="666" spans="1:14" x14ac:dyDescent="0.25">
      <c r="A666" t="s">
        <v>716</v>
      </c>
      <c r="B666" s="20">
        <v>45672</v>
      </c>
      <c r="C666" t="s">
        <v>45</v>
      </c>
      <c r="D666" t="s">
        <v>29</v>
      </c>
      <c r="E666" t="s">
        <v>36</v>
      </c>
      <c r="F666" t="s">
        <v>14</v>
      </c>
      <c r="G666">
        <v>1</v>
      </c>
      <c r="H666" s="1">
        <v>16.989999999999998</v>
      </c>
      <c r="I666" s="1">
        <v>16.989999999999998</v>
      </c>
      <c r="J666">
        <v>4</v>
      </c>
      <c r="K666" t="str">
        <f>TEXT(tbl_RawSales[[#This Row],[Order Date]],"mmm")</f>
        <v>Jan</v>
      </c>
      <c r="L666">
        <f>MONTH(tbl_RawSales[[#This Row],[Order Date]])</f>
        <v>1</v>
      </c>
      <c r="M666" t="str">
        <f>TEXT(tbl_RawSales[[#This Row],[Order Date]],"ddd")</f>
        <v>Wed</v>
      </c>
      <c r="N666">
        <f>WEEKDAY(tbl_RawSales[[#This Row],[Order Date]],2)</f>
        <v>3</v>
      </c>
    </row>
    <row r="667" spans="1:14" x14ac:dyDescent="0.25">
      <c r="A667" t="s">
        <v>717</v>
      </c>
      <c r="B667" s="20">
        <v>45473</v>
      </c>
      <c r="C667" t="s">
        <v>28</v>
      </c>
      <c r="D667" t="s">
        <v>12</v>
      </c>
      <c r="E667" t="s">
        <v>13</v>
      </c>
      <c r="F667" t="s">
        <v>14</v>
      </c>
      <c r="G667">
        <v>1</v>
      </c>
      <c r="H667" s="1">
        <v>18.989999999999998</v>
      </c>
      <c r="I667" s="1">
        <v>18.989999999999998</v>
      </c>
      <c r="J667">
        <v>4</v>
      </c>
      <c r="K667" t="str">
        <f>TEXT(tbl_RawSales[[#This Row],[Order Date]],"mmm")</f>
        <v>Jun</v>
      </c>
      <c r="L667">
        <f>MONTH(tbl_RawSales[[#This Row],[Order Date]])</f>
        <v>6</v>
      </c>
      <c r="M667" t="str">
        <f>TEXT(tbl_RawSales[[#This Row],[Order Date]],"ddd")</f>
        <v>Sun</v>
      </c>
      <c r="N667">
        <f>WEEKDAY(tbl_RawSales[[#This Row],[Order Date]],2)</f>
        <v>7</v>
      </c>
    </row>
    <row r="668" spans="1:14" x14ac:dyDescent="0.25">
      <c r="A668" t="s">
        <v>718</v>
      </c>
      <c r="B668" s="20">
        <v>45919</v>
      </c>
      <c r="C668" t="s">
        <v>32</v>
      </c>
      <c r="D668" t="s">
        <v>17</v>
      </c>
      <c r="E668" t="s">
        <v>119</v>
      </c>
      <c r="F668" t="s">
        <v>19</v>
      </c>
      <c r="G668">
        <v>4</v>
      </c>
      <c r="H668" s="1">
        <v>4.99</v>
      </c>
      <c r="I668" s="1">
        <v>19.96</v>
      </c>
      <c r="J668">
        <v>4</v>
      </c>
      <c r="K668" t="str">
        <f>TEXT(tbl_RawSales[[#This Row],[Order Date]],"mmm")</f>
        <v>Sept</v>
      </c>
      <c r="L668">
        <f>MONTH(tbl_RawSales[[#This Row],[Order Date]])</f>
        <v>9</v>
      </c>
      <c r="M668" t="str">
        <f>TEXT(tbl_RawSales[[#This Row],[Order Date]],"ddd")</f>
        <v>Fri</v>
      </c>
      <c r="N668">
        <f>WEEKDAY(tbl_RawSales[[#This Row],[Order Date]],2)</f>
        <v>5</v>
      </c>
    </row>
    <row r="669" spans="1:14" x14ac:dyDescent="0.25">
      <c r="A669" t="s">
        <v>719</v>
      </c>
      <c r="B669" s="20">
        <v>45968</v>
      </c>
      <c r="C669" t="s">
        <v>25</v>
      </c>
      <c r="D669" t="s">
        <v>17</v>
      </c>
      <c r="E669" t="s">
        <v>50</v>
      </c>
      <c r="F669" t="s">
        <v>14</v>
      </c>
      <c r="G669">
        <v>1</v>
      </c>
      <c r="H669" s="1">
        <v>22.99</v>
      </c>
      <c r="I669" s="1">
        <v>22.99</v>
      </c>
      <c r="J669">
        <v>3</v>
      </c>
      <c r="K669" t="str">
        <f>TEXT(tbl_RawSales[[#This Row],[Order Date]],"mmm")</f>
        <v>Nov</v>
      </c>
      <c r="L669">
        <f>MONTH(tbl_RawSales[[#This Row],[Order Date]])</f>
        <v>11</v>
      </c>
      <c r="M669" t="str">
        <f>TEXT(tbl_RawSales[[#This Row],[Order Date]],"ddd")</f>
        <v>Fri</v>
      </c>
      <c r="N669">
        <f>WEEKDAY(tbl_RawSales[[#This Row],[Order Date]],2)</f>
        <v>5</v>
      </c>
    </row>
    <row r="670" spans="1:14" x14ac:dyDescent="0.25">
      <c r="A670" t="s">
        <v>720</v>
      </c>
      <c r="B670" s="20">
        <v>45902</v>
      </c>
      <c r="C670" t="s">
        <v>34</v>
      </c>
      <c r="D670" t="s">
        <v>29</v>
      </c>
      <c r="E670" t="s">
        <v>221</v>
      </c>
      <c r="F670" t="s">
        <v>67</v>
      </c>
      <c r="G670">
        <v>1</v>
      </c>
      <c r="H670" s="1">
        <v>9.99</v>
      </c>
      <c r="I670" s="1">
        <v>9.99</v>
      </c>
      <c r="J670">
        <v>3</v>
      </c>
      <c r="K670" t="str">
        <f>TEXT(tbl_RawSales[[#This Row],[Order Date]],"mmm")</f>
        <v>Sept</v>
      </c>
      <c r="L670">
        <f>MONTH(tbl_RawSales[[#This Row],[Order Date]])</f>
        <v>9</v>
      </c>
      <c r="M670" t="str">
        <f>TEXT(tbl_RawSales[[#This Row],[Order Date]],"ddd")</f>
        <v>Tue</v>
      </c>
      <c r="N670">
        <f>WEEKDAY(tbl_RawSales[[#This Row],[Order Date]],2)</f>
        <v>2</v>
      </c>
    </row>
    <row r="671" spans="1:14" x14ac:dyDescent="0.25">
      <c r="A671" t="s">
        <v>721</v>
      </c>
      <c r="B671" s="20">
        <v>45554</v>
      </c>
      <c r="C671" t="s">
        <v>16</v>
      </c>
      <c r="D671" t="s">
        <v>17</v>
      </c>
      <c r="E671" t="s">
        <v>79</v>
      </c>
      <c r="F671" t="s">
        <v>67</v>
      </c>
      <c r="G671">
        <v>1</v>
      </c>
      <c r="H671" s="1">
        <v>10.99</v>
      </c>
      <c r="I671" s="1">
        <v>10.99</v>
      </c>
      <c r="J671">
        <v>3</v>
      </c>
      <c r="K671" t="str">
        <f>TEXT(tbl_RawSales[[#This Row],[Order Date]],"mmm")</f>
        <v>Sept</v>
      </c>
      <c r="L671">
        <f>MONTH(tbl_RawSales[[#This Row],[Order Date]])</f>
        <v>9</v>
      </c>
      <c r="M671" t="str">
        <f>TEXT(tbl_RawSales[[#This Row],[Order Date]],"ddd")</f>
        <v>Thu</v>
      </c>
      <c r="N671">
        <f>WEEKDAY(tbl_RawSales[[#This Row],[Order Date]],2)</f>
        <v>4</v>
      </c>
    </row>
    <row r="672" spans="1:14" x14ac:dyDescent="0.25">
      <c r="A672" t="s">
        <v>722</v>
      </c>
      <c r="B672" s="20">
        <v>45757</v>
      </c>
      <c r="C672" t="s">
        <v>34</v>
      </c>
      <c r="D672" t="s">
        <v>29</v>
      </c>
      <c r="E672" t="s">
        <v>176</v>
      </c>
      <c r="F672" t="s">
        <v>67</v>
      </c>
      <c r="G672">
        <v>1</v>
      </c>
      <c r="H672" s="1">
        <v>11.99</v>
      </c>
      <c r="I672" s="1">
        <v>11.99</v>
      </c>
      <c r="J672">
        <v>4</v>
      </c>
      <c r="K672" t="str">
        <f>TEXT(tbl_RawSales[[#This Row],[Order Date]],"mmm")</f>
        <v>Apr</v>
      </c>
      <c r="L672">
        <f>MONTH(tbl_RawSales[[#This Row],[Order Date]])</f>
        <v>4</v>
      </c>
      <c r="M672" t="str">
        <f>TEXT(tbl_RawSales[[#This Row],[Order Date]],"ddd")</f>
        <v>Thu</v>
      </c>
      <c r="N672">
        <f>WEEKDAY(tbl_RawSales[[#This Row],[Order Date]],2)</f>
        <v>4</v>
      </c>
    </row>
    <row r="673" spans="1:14" x14ac:dyDescent="0.25">
      <c r="A673" t="s">
        <v>723</v>
      </c>
      <c r="B673" s="20">
        <v>45720</v>
      </c>
      <c r="C673" t="s">
        <v>21</v>
      </c>
      <c r="D673" t="s">
        <v>12</v>
      </c>
      <c r="E673" t="s">
        <v>74</v>
      </c>
      <c r="F673" t="s">
        <v>14</v>
      </c>
      <c r="G673">
        <v>1</v>
      </c>
      <c r="H673" s="1">
        <v>14.99</v>
      </c>
      <c r="I673" s="1">
        <v>14.99</v>
      </c>
      <c r="J673">
        <v>5</v>
      </c>
      <c r="K673" t="str">
        <f>TEXT(tbl_RawSales[[#This Row],[Order Date]],"mmm")</f>
        <v>Mar</v>
      </c>
      <c r="L673">
        <f>MONTH(tbl_RawSales[[#This Row],[Order Date]])</f>
        <v>3</v>
      </c>
      <c r="M673" t="str">
        <f>TEXT(tbl_RawSales[[#This Row],[Order Date]],"ddd")</f>
        <v>Tue</v>
      </c>
      <c r="N673">
        <f>WEEKDAY(tbl_RawSales[[#This Row],[Order Date]],2)</f>
        <v>2</v>
      </c>
    </row>
    <row r="674" spans="1:14" x14ac:dyDescent="0.25">
      <c r="A674" t="s">
        <v>724</v>
      </c>
      <c r="B674" s="20">
        <v>45941</v>
      </c>
      <c r="C674" t="s">
        <v>25</v>
      </c>
      <c r="D674" t="s">
        <v>17</v>
      </c>
      <c r="E674" t="s">
        <v>69</v>
      </c>
      <c r="F674" t="s">
        <v>67</v>
      </c>
      <c r="G674">
        <v>3</v>
      </c>
      <c r="H674" s="1">
        <v>8.99</v>
      </c>
      <c r="I674" s="1">
        <v>26.97</v>
      </c>
      <c r="J674">
        <v>3</v>
      </c>
      <c r="K674" t="str">
        <f>TEXT(tbl_RawSales[[#This Row],[Order Date]],"mmm")</f>
        <v>Oct</v>
      </c>
      <c r="L674">
        <f>MONTH(tbl_RawSales[[#This Row],[Order Date]])</f>
        <v>10</v>
      </c>
      <c r="M674" t="str">
        <f>TEXT(tbl_RawSales[[#This Row],[Order Date]],"ddd")</f>
        <v>Sat</v>
      </c>
      <c r="N674">
        <f>WEEKDAY(tbl_RawSales[[#This Row],[Order Date]],2)</f>
        <v>6</v>
      </c>
    </row>
    <row r="675" spans="1:14" x14ac:dyDescent="0.25">
      <c r="A675" t="s">
        <v>725</v>
      </c>
      <c r="B675" s="20">
        <v>45647</v>
      </c>
      <c r="C675" t="s">
        <v>32</v>
      </c>
      <c r="D675" t="s">
        <v>29</v>
      </c>
      <c r="E675" t="s">
        <v>46</v>
      </c>
      <c r="F675" t="s">
        <v>14</v>
      </c>
      <c r="G675">
        <v>4</v>
      </c>
      <c r="H675" s="1">
        <v>32.99</v>
      </c>
      <c r="I675" s="1">
        <v>131.96</v>
      </c>
      <c r="J675">
        <v>5</v>
      </c>
      <c r="K675" t="str">
        <f>TEXT(tbl_RawSales[[#This Row],[Order Date]],"mmm")</f>
        <v>Dec</v>
      </c>
      <c r="L675">
        <f>MONTH(tbl_RawSales[[#This Row],[Order Date]])</f>
        <v>12</v>
      </c>
      <c r="M675" t="str">
        <f>TEXT(tbl_RawSales[[#This Row],[Order Date]],"ddd")</f>
        <v>Sat</v>
      </c>
      <c r="N675">
        <f>WEEKDAY(tbl_RawSales[[#This Row],[Order Date]],2)</f>
        <v>6</v>
      </c>
    </row>
    <row r="676" spans="1:14" x14ac:dyDescent="0.25">
      <c r="A676" t="s">
        <v>726</v>
      </c>
      <c r="B676" s="20">
        <v>45297</v>
      </c>
      <c r="C676" t="s">
        <v>28</v>
      </c>
      <c r="D676" t="s">
        <v>12</v>
      </c>
      <c r="E676" t="s">
        <v>221</v>
      </c>
      <c r="F676" t="s">
        <v>67</v>
      </c>
      <c r="G676">
        <v>2</v>
      </c>
      <c r="H676" s="1">
        <v>9.99</v>
      </c>
      <c r="I676" s="1">
        <v>19.98</v>
      </c>
      <c r="J676">
        <v>4</v>
      </c>
      <c r="K676" t="str">
        <f>TEXT(tbl_RawSales[[#This Row],[Order Date]],"mmm")</f>
        <v>Jan</v>
      </c>
      <c r="L676">
        <f>MONTH(tbl_RawSales[[#This Row],[Order Date]])</f>
        <v>1</v>
      </c>
      <c r="M676" t="str">
        <f>TEXT(tbl_RawSales[[#This Row],[Order Date]],"ddd")</f>
        <v>Sat</v>
      </c>
      <c r="N676">
        <f>WEEKDAY(tbl_RawSales[[#This Row],[Order Date]],2)</f>
        <v>6</v>
      </c>
    </row>
    <row r="677" spans="1:14" x14ac:dyDescent="0.25">
      <c r="A677" t="s">
        <v>727</v>
      </c>
      <c r="B677" s="20">
        <v>45971</v>
      </c>
      <c r="C677" t="s">
        <v>21</v>
      </c>
      <c r="D677" t="s">
        <v>29</v>
      </c>
      <c r="E677" t="s">
        <v>43</v>
      </c>
      <c r="F677" t="s">
        <v>23</v>
      </c>
      <c r="G677">
        <v>2</v>
      </c>
      <c r="H677" s="1">
        <v>11.99</v>
      </c>
      <c r="I677" s="1">
        <v>23.98</v>
      </c>
      <c r="J677">
        <v>4</v>
      </c>
      <c r="K677" t="str">
        <f>TEXT(tbl_RawSales[[#This Row],[Order Date]],"mmm")</f>
        <v>Nov</v>
      </c>
      <c r="L677">
        <f>MONTH(tbl_RawSales[[#This Row],[Order Date]])</f>
        <v>11</v>
      </c>
      <c r="M677" t="str">
        <f>TEXT(tbl_RawSales[[#This Row],[Order Date]],"ddd")</f>
        <v>Mon</v>
      </c>
      <c r="N677">
        <f>WEEKDAY(tbl_RawSales[[#This Row],[Order Date]],2)</f>
        <v>1</v>
      </c>
    </row>
    <row r="678" spans="1:14" x14ac:dyDescent="0.25">
      <c r="A678" t="s">
        <v>728</v>
      </c>
      <c r="B678" s="20">
        <v>45453</v>
      </c>
      <c r="C678" t="s">
        <v>45</v>
      </c>
      <c r="D678" t="s">
        <v>12</v>
      </c>
      <c r="E678" t="s">
        <v>142</v>
      </c>
      <c r="F678" t="s">
        <v>23</v>
      </c>
      <c r="G678">
        <v>2</v>
      </c>
      <c r="H678" s="1">
        <v>14.99</v>
      </c>
      <c r="I678" s="1">
        <v>29.98</v>
      </c>
      <c r="J678">
        <v>4</v>
      </c>
      <c r="K678" t="str">
        <f>TEXT(tbl_RawSales[[#This Row],[Order Date]],"mmm")</f>
        <v>Jun</v>
      </c>
      <c r="L678">
        <f>MONTH(tbl_RawSales[[#This Row],[Order Date]])</f>
        <v>6</v>
      </c>
      <c r="M678" t="str">
        <f>TEXT(tbl_RawSales[[#This Row],[Order Date]],"ddd")</f>
        <v>Mon</v>
      </c>
      <c r="N678">
        <f>WEEKDAY(tbl_RawSales[[#This Row],[Order Date]],2)</f>
        <v>1</v>
      </c>
    </row>
    <row r="679" spans="1:14" x14ac:dyDescent="0.25">
      <c r="A679" t="s">
        <v>729</v>
      </c>
      <c r="B679" s="20">
        <v>45611</v>
      </c>
      <c r="C679" t="s">
        <v>25</v>
      </c>
      <c r="D679" t="s">
        <v>12</v>
      </c>
      <c r="E679" t="s">
        <v>39</v>
      </c>
      <c r="F679" t="s">
        <v>14</v>
      </c>
      <c r="G679">
        <v>3</v>
      </c>
      <c r="H679" s="1">
        <v>24.99</v>
      </c>
      <c r="I679" s="1">
        <v>74.97</v>
      </c>
      <c r="J679">
        <v>5</v>
      </c>
      <c r="K679" t="str">
        <f>TEXT(tbl_RawSales[[#This Row],[Order Date]],"mmm")</f>
        <v>Nov</v>
      </c>
      <c r="L679">
        <f>MONTH(tbl_RawSales[[#This Row],[Order Date]])</f>
        <v>11</v>
      </c>
      <c r="M679" t="str">
        <f>TEXT(tbl_RawSales[[#This Row],[Order Date]],"ddd")</f>
        <v>Fri</v>
      </c>
      <c r="N679">
        <f>WEEKDAY(tbl_RawSales[[#This Row],[Order Date]],2)</f>
        <v>5</v>
      </c>
    </row>
    <row r="680" spans="1:14" x14ac:dyDescent="0.25">
      <c r="A680" t="s">
        <v>730</v>
      </c>
      <c r="B680" s="20">
        <v>45823</v>
      </c>
      <c r="C680" t="s">
        <v>32</v>
      </c>
      <c r="D680" t="s">
        <v>17</v>
      </c>
      <c r="E680" t="s">
        <v>112</v>
      </c>
      <c r="F680" t="s">
        <v>19</v>
      </c>
      <c r="G680">
        <v>1</v>
      </c>
      <c r="H680" s="1">
        <v>5.99</v>
      </c>
      <c r="I680" s="1">
        <v>5.99</v>
      </c>
      <c r="J680">
        <v>2</v>
      </c>
      <c r="K680" t="str">
        <f>TEXT(tbl_RawSales[[#This Row],[Order Date]],"mmm")</f>
        <v>Jun</v>
      </c>
      <c r="L680">
        <f>MONTH(tbl_RawSales[[#This Row],[Order Date]])</f>
        <v>6</v>
      </c>
      <c r="M680" t="str">
        <f>TEXT(tbl_RawSales[[#This Row],[Order Date]],"ddd")</f>
        <v>Sun</v>
      </c>
      <c r="N680">
        <f>WEEKDAY(tbl_RawSales[[#This Row],[Order Date]],2)</f>
        <v>7</v>
      </c>
    </row>
    <row r="681" spans="1:14" x14ac:dyDescent="0.25">
      <c r="A681" t="s">
        <v>731</v>
      </c>
      <c r="B681" s="20">
        <v>45835</v>
      </c>
      <c r="C681" t="s">
        <v>34</v>
      </c>
      <c r="D681" t="s">
        <v>12</v>
      </c>
      <c r="E681" t="s">
        <v>62</v>
      </c>
      <c r="F681" t="s">
        <v>23</v>
      </c>
      <c r="G681">
        <v>4</v>
      </c>
      <c r="H681" s="1">
        <v>9.99</v>
      </c>
      <c r="I681" s="1">
        <v>39.96</v>
      </c>
      <c r="J681">
        <v>5</v>
      </c>
      <c r="K681" t="str">
        <f>TEXT(tbl_RawSales[[#This Row],[Order Date]],"mmm")</f>
        <v>Jun</v>
      </c>
      <c r="L681">
        <f>MONTH(tbl_RawSales[[#This Row],[Order Date]])</f>
        <v>6</v>
      </c>
      <c r="M681" t="str">
        <f>TEXT(tbl_RawSales[[#This Row],[Order Date]],"ddd")</f>
        <v>Fri</v>
      </c>
      <c r="N681">
        <f>WEEKDAY(tbl_RawSales[[#This Row],[Order Date]],2)</f>
        <v>5</v>
      </c>
    </row>
    <row r="682" spans="1:14" x14ac:dyDescent="0.25">
      <c r="A682" t="s">
        <v>732</v>
      </c>
      <c r="B682" s="20">
        <v>45782</v>
      </c>
      <c r="C682" t="s">
        <v>32</v>
      </c>
      <c r="D682" t="s">
        <v>29</v>
      </c>
      <c r="E682" t="s">
        <v>26</v>
      </c>
      <c r="F682" t="s">
        <v>19</v>
      </c>
      <c r="G682">
        <v>1</v>
      </c>
      <c r="H682" s="1">
        <v>3.49</v>
      </c>
      <c r="I682" s="1">
        <v>3.49</v>
      </c>
      <c r="J682">
        <v>4</v>
      </c>
      <c r="K682" t="str">
        <f>TEXT(tbl_RawSales[[#This Row],[Order Date]],"mmm")</f>
        <v>May</v>
      </c>
      <c r="L682">
        <f>MONTH(tbl_RawSales[[#This Row],[Order Date]])</f>
        <v>5</v>
      </c>
      <c r="M682" t="str">
        <f>TEXT(tbl_RawSales[[#This Row],[Order Date]],"ddd")</f>
        <v>Mon</v>
      </c>
      <c r="N682">
        <f>WEEKDAY(tbl_RawSales[[#This Row],[Order Date]],2)</f>
        <v>1</v>
      </c>
    </row>
    <row r="683" spans="1:14" x14ac:dyDescent="0.25">
      <c r="A683" t="s">
        <v>733</v>
      </c>
      <c r="B683" s="20">
        <v>45646</v>
      </c>
      <c r="C683" t="s">
        <v>16</v>
      </c>
      <c r="D683" t="s">
        <v>12</v>
      </c>
      <c r="E683" t="s">
        <v>41</v>
      </c>
      <c r="F683" t="s">
        <v>23</v>
      </c>
      <c r="G683">
        <v>1</v>
      </c>
      <c r="H683" s="1">
        <v>12.99</v>
      </c>
      <c r="I683" s="1">
        <v>12.99</v>
      </c>
      <c r="J683">
        <v>4</v>
      </c>
      <c r="K683" t="str">
        <f>TEXT(tbl_RawSales[[#This Row],[Order Date]],"mmm")</f>
        <v>Dec</v>
      </c>
      <c r="L683">
        <f>MONTH(tbl_RawSales[[#This Row],[Order Date]])</f>
        <v>12</v>
      </c>
      <c r="M683" t="str">
        <f>TEXT(tbl_RawSales[[#This Row],[Order Date]],"ddd")</f>
        <v>Fri</v>
      </c>
      <c r="N683">
        <f>WEEKDAY(tbl_RawSales[[#This Row],[Order Date]],2)</f>
        <v>5</v>
      </c>
    </row>
    <row r="684" spans="1:14" x14ac:dyDescent="0.25">
      <c r="A684" t="s">
        <v>734</v>
      </c>
      <c r="B684" s="20">
        <v>46000</v>
      </c>
      <c r="C684" t="s">
        <v>34</v>
      </c>
      <c r="D684" t="s">
        <v>29</v>
      </c>
      <c r="E684" t="s">
        <v>41</v>
      </c>
      <c r="F684" t="s">
        <v>23</v>
      </c>
      <c r="G684">
        <v>2</v>
      </c>
      <c r="H684" s="1">
        <v>12.99</v>
      </c>
      <c r="I684" s="1">
        <v>25.98</v>
      </c>
      <c r="J684">
        <v>5</v>
      </c>
      <c r="K684" t="str">
        <f>TEXT(tbl_RawSales[[#This Row],[Order Date]],"mmm")</f>
        <v>Dec</v>
      </c>
      <c r="L684">
        <f>MONTH(tbl_RawSales[[#This Row],[Order Date]])</f>
        <v>12</v>
      </c>
      <c r="M684" t="str">
        <f>TEXT(tbl_RawSales[[#This Row],[Order Date]],"ddd")</f>
        <v>Tue</v>
      </c>
      <c r="N684">
        <f>WEEKDAY(tbl_RawSales[[#This Row],[Order Date]],2)</f>
        <v>2</v>
      </c>
    </row>
    <row r="685" spans="1:14" x14ac:dyDescent="0.25">
      <c r="A685" t="s">
        <v>735</v>
      </c>
      <c r="B685" s="20">
        <v>45909</v>
      </c>
      <c r="C685" t="s">
        <v>21</v>
      </c>
      <c r="D685" t="s">
        <v>29</v>
      </c>
      <c r="E685" t="s">
        <v>26</v>
      </c>
      <c r="F685" t="s">
        <v>19</v>
      </c>
      <c r="G685">
        <v>1</v>
      </c>
      <c r="H685" s="1">
        <v>3.49</v>
      </c>
      <c r="I685" s="1">
        <v>3.49</v>
      </c>
      <c r="J685">
        <v>5</v>
      </c>
      <c r="K685" t="str">
        <f>TEXT(tbl_RawSales[[#This Row],[Order Date]],"mmm")</f>
        <v>Sept</v>
      </c>
      <c r="L685">
        <f>MONTH(tbl_RawSales[[#This Row],[Order Date]])</f>
        <v>9</v>
      </c>
      <c r="M685" t="str">
        <f>TEXT(tbl_RawSales[[#This Row],[Order Date]],"ddd")</f>
        <v>Tue</v>
      </c>
      <c r="N685">
        <f>WEEKDAY(tbl_RawSales[[#This Row],[Order Date]],2)</f>
        <v>2</v>
      </c>
    </row>
    <row r="686" spans="1:14" x14ac:dyDescent="0.25">
      <c r="A686" t="s">
        <v>736</v>
      </c>
      <c r="B686" s="20">
        <v>45643</v>
      </c>
      <c r="C686" t="s">
        <v>21</v>
      </c>
      <c r="D686" t="s">
        <v>12</v>
      </c>
      <c r="E686" t="s">
        <v>57</v>
      </c>
      <c r="F686" t="s">
        <v>14</v>
      </c>
      <c r="G686">
        <v>2</v>
      </c>
      <c r="H686" s="1">
        <v>15.99</v>
      </c>
      <c r="I686" s="1">
        <v>31.98</v>
      </c>
      <c r="J686">
        <v>5</v>
      </c>
      <c r="K686" t="str">
        <f>TEXT(tbl_RawSales[[#This Row],[Order Date]],"mmm")</f>
        <v>Dec</v>
      </c>
      <c r="L686">
        <f>MONTH(tbl_RawSales[[#This Row],[Order Date]])</f>
        <v>12</v>
      </c>
      <c r="M686" t="str">
        <f>TEXT(tbl_RawSales[[#This Row],[Order Date]],"ddd")</f>
        <v>Tue</v>
      </c>
      <c r="N686">
        <f>WEEKDAY(tbl_RawSales[[#This Row],[Order Date]],2)</f>
        <v>2</v>
      </c>
    </row>
    <row r="687" spans="1:14" x14ac:dyDescent="0.25">
      <c r="A687" t="s">
        <v>737</v>
      </c>
      <c r="B687" s="20">
        <v>45814</v>
      </c>
      <c r="C687" t="s">
        <v>38</v>
      </c>
      <c r="D687" t="s">
        <v>12</v>
      </c>
      <c r="E687" t="s">
        <v>30</v>
      </c>
      <c r="F687" t="s">
        <v>19</v>
      </c>
      <c r="G687">
        <v>2</v>
      </c>
      <c r="H687" s="1">
        <v>7.99</v>
      </c>
      <c r="I687" s="1">
        <v>15.98</v>
      </c>
      <c r="J687">
        <v>5</v>
      </c>
      <c r="K687" t="str">
        <f>TEXT(tbl_RawSales[[#This Row],[Order Date]],"mmm")</f>
        <v>Jun</v>
      </c>
      <c r="L687">
        <f>MONTH(tbl_RawSales[[#This Row],[Order Date]])</f>
        <v>6</v>
      </c>
      <c r="M687" t="str">
        <f>TEXT(tbl_RawSales[[#This Row],[Order Date]],"ddd")</f>
        <v>Fri</v>
      </c>
      <c r="N687">
        <f>WEEKDAY(tbl_RawSales[[#This Row],[Order Date]],2)</f>
        <v>5</v>
      </c>
    </row>
    <row r="688" spans="1:14" x14ac:dyDescent="0.25">
      <c r="A688" t="s">
        <v>738</v>
      </c>
      <c r="B688" s="20">
        <v>45395</v>
      </c>
      <c r="C688" t="s">
        <v>32</v>
      </c>
      <c r="D688" t="s">
        <v>29</v>
      </c>
      <c r="E688" t="s">
        <v>50</v>
      </c>
      <c r="F688" t="s">
        <v>14</v>
      </c>
      <c r="G688">
        <v>2</v>
      </c>
      <c r="H688" s="1">
        <v>22.99</v>
      </c>
      <c r="I688" s="1">
        <v>45.98</v>
      </c>
      <c r="J688">
        <v>4</v>
      </c>
      <c r="K688" t="str">
        <f>TEXT(tbl_RawSales[[#This Row],[Order Date]],"mmm")</f>
        <v>Apr</v>
      </c>
      <c r="L688">
        <f>MONTH(tbl_RawSales[[#This Row],[Order Date]])</f>
        <v>4</v>
      </c>
      <c r="M688" t="str">
        <f>TEXT(tbl_RawSales[[#This Row],[Order Date]],"ddd")</f>
        <v>Sat</v>
      </c>
      <c r="N688">
        <f>WEEKDAY(tbl_RawSales[[#This Row],[Order Date]],2)</f>
        <v>6</v>
      </c>
    </row>
    <row r="689" spans="1:14" x14ac:dyDescent="0.25">
      <c r="A689" t="s">
        <v>739</v>
      </c>
      <c r="B689" s="20">
        <v>45892</v>
      </c>
      <c r="C689" t="s">
        <v>11</v>
      </c>
      <c r="D689" t="s">
        <v>29</v>
      </c>
      <c r="E689" t="s">
        <v>83</v>
      </c>
      <c r="F689" t="s">
        <v>14</v>
      </c>
      <c r="G689">
        <v>1</v>
      </c>
      <c r="H689" s="1">
        <v>17.989999999999998</v>
      </c>
      <c r="I689" s="1">
        <v>17.989999999999998</v>
      </c>
      <c r="J689">
        <v>3</v>
      </c>
      <c r="K689" t="str">
        <f>TEXT(tbl_RawSales[[#This Row],[Order Date]],"mmm")</f>
        <v>Aug</v>
      </c>
      <c r="L689">
        <f>MONTH(tbl_RawSales[[#This Row],[Order Date]])</f>
        <v>8</v>
      </c>
      <c r="M689" t="str">
        <f>TEXT(tbl_RawSales[[#This Row],[Order Date]],"ddd")</f>
        <v>Sat</v>
      </c>
      <c r="N689">
        <f>WEEKDAY(tbl_RawSales[[#This Row],[Order Date]],2)</f>
        <v>6</v>
      </c>
    </row>
    <row r="690" spans="1:14" x14ac:dyDescent="0.25">
      <c r="A690" t="s">
        <v>740</v>
      </c>
      <c r="B690" s="20">
        <v>45895</v>
      </c>
      <c r="C690" t="s">
        <v>97</v>
      </c>
      <c r="D690" t="s">
        <v>12</v>
      </c>
      <c r="E690" t="s">
        <v>55</v>
      </c>
      <c r="F690" t="s">
        <v>23</v>
      </c>
      <c r="G690">
        <v>1</v>
      </c>
      <c r="H690" s="1">
        <v>10.99</v>
      </c>
      <c r="I690" s="1">
        <v>10.99</v>
      </c>
      <c r="J690">
        <v>3</v>
      </c>
      <c r="K690" t="str">
        <f>TEXT(tbl_RawSales[[#This Row],[Order Date]],"mmm")</f>
        <v>Aug</v>
      </c>
      <c r="L690">
        <f>MONTH(tbl_RawSales[[#This Row],[Order Date]])</f>
        <v>8</v>
      </c>
      <c r="M690" t="str">
        <f>TEXT(tbl_RawSales[[#This Row],[Order Date]],"ddd")</f>
        <v>Tue</v>
      </c>
      <c r="N690">
        <f>WEEKDAY(tbl_RawSales[[#This Row],[Order Date]],2)</f>
        <v>2</v>
      </c>
    </row>
    <row r="691" spans="1:14" x14ac:dyDescent="0.25">
      <c r="A691" t="s">
        <v>741</v>
      </c>
      <c r="B691" s="20">
        <v>45878</v>
      </c>
      <c r="C691" t="s">
        <v>32</v>
      </c>
      <c r="D691" t="s">
        <v>17</v>
      </c>
      <c r="E691" t="s">
        <v>18</v>
      </c>
      <c r="F691" t="s">
        <v>19</v>
      </c>
      <c r="G691">
        <v>2</v>
      </c>
      <c r="H691" s="1">
        <v>9.99</v>
      </c>
      <c r="I691" s="1">
        <v>19.98</v>
      </c>
      <c r="J691">
        <v>5</v>
      </c>
      <c r="K691" t="str">
        <f>TEXT(tbl_RawSales[[#This Row],[Order Date]],"mmm")</f>
        <v>Aug</v>
      </c>
      <c r="L691">
        <f>MONTH(tbl_RawSales[[#This Row],[Order Date]])</f>
        <v>8</v>
      </c>
      <c r="M691" t="str">
        <f>TEXT(tbl_RawSales[[#This Row],[Order Date]],"ddd")</f>
        <v>Sat</v>
      </c>
      <c r="N691">
        <f>WEEKDAY(tbl_RawSales[[#This Row],[Order Date]],2)</f>
        <v>6</v>
      </c>
    </row>
    <row r="692" spans="1:14" x14ac:dyDescent="0.25">
      <c r="A692" t="s">
        <v>742</v>
      </c>
      <c r="B692" s="20">
        <v>45903</v>
      </c>
      <c r="C692" t="s">
        <v>25</v>
      </c>
      <c r="D692" t="s">
        <v>17</v>
      </c>
      <c r="E692" t="s">
        <v>66</v>
      </c>
      <c r="F692" t="s">
        <v>67</v>
      </c>
      <c r="G692">
        <v>3</v>
      </c>
      <c r="H692" s="1">
        <v>7.99</v>
      </c>
      <c r="I692" s="1">
        <v>23.97</v>
      </c>
      <c r="J692">
        <v>5</v>
      </c>
      <c r="K692" t="str">
        <f>TEXT(tbl_RawSales[[#This Row],[Order Date]],"mmm")</f>
        <v>Sept</v>
      </c>
      <c r="L692">
        <f>MONTH(tbl_RawSales[[#This Row],[Order Date]])</f>
        <v>9</v>
      </c>
      <c r="M692" t="str">
        <f>TEXT(tbl_RawSales[[#This Row],[Order Date]],"ddd")</f>
        <v>Wed</v>
      </c>
      <c r="N692">
        <f>WEEKDAY(tbl_RawSales[[#This Row],[Order Date]],2)</f>
        <v>3</v>
      </c>
    </row>
    <row r="693" spans="1:14" x14ac:dyDescent="0.25">
      <c r="A693" t="s">
        <v>743</v>
      </c>
      <c r="B693" s="20">
        <v>45816</v>
      </c>
      <c r="C693" t="s">
        <v>97</v>
      </c>
      <c r="D693" t="s">
        <v>29</v>
      </c>
      <c r="E693" t="s">
        <v>46</v>
      </c>
      <c r="F693" t="s">
        <v>14</v>
      </c>
      <c r="G693">
        <v>4</v>
      </c>
      <c r="H693" s="1">
        <v>32.99</v>
      </c>
      <c r="I693" s="1">
        <v>131.96</v>
      </c>
      <c r="J693">
        <v>5</v>
      </c>
      <c r="K693" t="str">
        <f>TEXT(tbl_RawSales[[#This Row],[Order Date]],"mmm")</f>
        <v>Jun</v>
      </c>
      <c r="L693">
        <f>MONTH(tbl_RawSales[[#This Row],[Order Date]])</f>
        <v>6</v>
      </c>
      <c r="M693" t="str">
        <f>TEXT(tbl_RawSales[[#This Row],[Order Date]],"ddd")</f>
        <v>Sun</v>
      </c>
      <c r="N693">
        <f>WEEKDAY(tbl_RawSales[[#This Row],[Order Date]],2)</f>
        <v>7</v>
      </c>
    </row>
    <row r="694" spans="1:14" x14ac:dyDescent="0.25">
      <c r="A694" t="s">
        <v>744</v>
      </c>
      <c r="B694" s="20">
        <v>45765</v>
      </c>
      <c r="C694" t="s">
        <v>45</v>
      </c>
      <c r="D694" t="s">
        <v>17</v>
      </c>
      <c r="E694" t="s">
        <v>39</v>
      </c>
      <c r="F694" t="s">
        <v>14</v>
      </c>
      <c r="G694">
        <v>1</v>
      </c>
      <c r="H694" s="1">
        <v>24.99</v>
      </c>
      <c r="I694" s="1">
        <v>24.99</v>
      </c>
      <c r="J694">
        <v>4</v>
      </c>
      <c r="K694" t="str">
        <f>TEXT(tbl_RawSales[[#This Row],[Order Date]],"mmm")</f>
        <v>Apr</v>
      </c>
      <c r="L694">
        <f>MONTH(tbl_RawSales[[#This Row],[Order Date]])</f>
        <v>4</v>
      </c>
      <c r="M694" t="str">
        <f>TEXT(tbl_RawSales[[#This Row],[Order Date]],"ddd")</f>
        <v>Fri</v>
      </c>
      <c r="N694">
        <f>WEEKDAY(tbl_RawSales[[#This Row],[Order Date]],2)</f>
        <v>5</v>
      </c>
    </row>
    <row r="695" spans="1:14" x14ac:dyDescent="0.25">
      <c r="A695" t="s">
        <v>745</v>
      </c>
      <c r="B695" s="20">
        <v>45351</v>
      </c>
      <c r="C695" t="s">
        <v>21</v>
      </c>
      <c r="D695" t="s">
        <v>12</v>
      </c>
      <c r="E695" t="s">
        <v>119</v>
      </c>
      <c r="F695" t="s">
        <v>19</v>
      </c>
      <c r="G695">
        <v>2</v>
      </c>
      <c r="H695" s="1">
        <v>4.99</v>
      </c>
      <c r="I695" s="1">
        <v>9.98</v>
      </c>
      <c r="J695">
        <v>4</v>
      </c>
      <c r="K695" t="str">
        <f>TEXT(tbl_RawSales[[#This Row],[Order Date]],"mmm")</f>
        <v>Feb</v>
      </c>
      <c r="L695">
        <f>MONTH(tbl_RawSales[[#This Row],[Order Date]])</f>
        <v>2</v>
      </c>
      <c r="M695" t="str">
        <f>TEXT(tbl_RawSales[[#This Row],[Order Date]],"ddd")</f>
        <v>Thu</v>
      </c>
      <c r="N695">
        <f>WEEKDAY(tbl_RawSales[[#This Row],[Order Date]],2)</f>
        <v>4</v>
      </c>
    </row>
    <row r="696" spans="1:14" x14ac:dyDescent="0.25">
      <c r="A696" t="s">
        <v>746</v>
      </c>
      <c r="B696" s="20">
        <v>45639</v>
      </c>
      <c r="C696" t="s">
        <v>21</v>
      </c>
      <c r="D696" t="s">
        <v>12</v>
      </c>
      <c r="E696" t="s">
        <v>52</v>
      </c>
      <c r="F696" t="s">
        <v>19</v>
      </c>
      <c r="G696">
        <v>3</v>
      </c>
      <c r="H696" s="1">
        <v>6.99</v>
      </c>
      <c r="I696" s="1">
        <v>20.97</v>
      </c>
      <c r="J696">
        <v>2</v>
      </c>
      <c r="K696" t="str">
        <f>TEXT(tbl_RawSales[[#This Row],[Order Date]],"mmm")</f>
        <v>Dec</v>
      </c>
      <c r="L696">
        <f>MONTH(tbl_RawSales[[#This Row],[Order Date]])</f>
        <v>12</v>
      </c>
      <c r="M696" t="str">
        <f>TEXT(tbl_RawSales[[#This Row],[Order Date]],"ddd")</f>
        <v>Fri</v>
      </c>
      <c r="N696">
        <f>WEEKDAY(tbl_RawSales[[#This Row],[Order Date]],2)</f>
        <v>5</v>
      </c>
    </row>
    <row r="697" spans="1:14" x14ac:dyDescent="0.25">
      <c r="A697" t="s">
        <v>747</v>
      </c>
      <c r="B697" s="20">
        <v>45555</v>
      </c>
      <c r="C697" t="s">
        <v>16</v>
      </c>
      <c r="D697" t="s">
        <v>12</v>
      </c>
      <c r="E697" t="s">
        <v>66</v>
      </c>
      <c r="F697" t="s">
        <v>67</v>
      </c>
      <c r="G697">
        <v>1</v>
      </c>
      <c r="H697" s="1">
        <v>7.99</v>
      </c>
      <c r="I697" s="1">
        <v>7.99</v>
      </c>
      <c r="J697">
        <v>3</v>
      </c>
      <c r="K697" t="str">
        <f>TEXT(tbl_RawSales[[#This Row],[Order Date]],"mmm")</f>
        <v>Sept</v>
      </c>
      <c r="L697">
        <f>MONTH(tbl_RawSales[[#This Row],[Order Date]])</f>
        <v>9</v>
      </c>
      <c r="M697" t="str">
        <f>TEXT(tbl_RawSales[[#This Row],[Order Date]],"ddd")</f>
        <v>Fri</v>
      </c>
      <c r="N697">
        <f>WEEKDAY(tbl_RawSales[[#This Row],[Order Date]],2)</f>
        <v>5</v>
      </c>
    </row>
    <row r="698" spans="1:14" x14ac:dyDescent="0.25">
      <c r="A698" t="s">
        <v>748</v>
      </c>
      <c r="B698" s="20">
        <v>45625</v>
      </c>
      <c r="C698" t="s">
        <v>28</v>
      </c>
      <c r="D698" t="s">
        <v>17</v>
      </c>
      <c r="E698" t="s">
        <v>119</v>
      </c>
      <c r="F698" t="s">
        <v>19</v>
      </c>
      <c r="G698">
        <v>1</v>
      </c>
      <c r="H698" s="1">
        <v>4.99</v>
      </c>
      <c r="I698" s="1">
        <v>4.99</v>
      </c>
      <c r="J698">
        <v>4</v>
      </c>
      <c r="K698" t="str">
        <f>TEXT(tbl_RawSales[[#This Row],[Order Date]],"mmm")</f>
        <v>Nov</v>
      </c>
      <c r="L698">
        <f>MONTH(tbl_RawSales[[#This Row],[Order Date]])</f>
        <v>11</v>
      </c>
      <c r="M698" t="str">
        <f>TEXT(tbl_RawSales[[#This Row],[Order Date]],"ddd")</f>
        <v>Fri</v>
      </c>
      <c r="N698">
        <f>WEEKDAY(tbl_RawSales[[#This Row],[Order Date]],2)</f>
        <v>5</v>
      </c>
    </row>
    <row r="699" spans="1:14" x14ac:dyDescent="0.25">
      <c r="A699" t="s">
        <v>749</v>
      </c>
      <c r="B699" s="20">
        <v>45691</v>
      </c>
      <c r="C699" t="s">
        <v>21</v>
      </c>
      <c r="D699" t="s">
        <v>29</v>
      </c>
      <c r="E699" t="s">
        <v>83</v>
      </c>
      <c r="F699" t="s">
        <v>14</v>
      </c>
      <c r="G699">
        <v>1</v>
      </c>
      <c r="H699" s="1">
        <v>17.989999999999998</v>
      </c>
      <c r="I699" s="1">
        <v>17.989999999999998</v>
      </c>
      <c r="J699">
        <v>4</v>
      </c>
      <c r="K699" t="str">
        <f>TEXT(tbl_RawSales[[#This Row],[Order Date]],"mmm")</f>
        <v>Feb</v>
      </c>
      <c r="L699">
        <f>MONTH(tbl_RawSales[[#This Row],[Order Date]])</f>
        <v>2</v>
      </c>
      <c r="M699" t="str">
        <f>TEXT(tbl_RawSales[[#This Row],[Order Date]],"ddd")</f>
        <v>Mon</v>
      </c>
      <c r="N699">
        <f>WEEKDAY(tbl_RawSales[[#This Row],[Order Date]],2)</f>
        <v>1</v>
      </c>
    </row>
    <row r="700" spans="1:14" x14ac:dyDescent="0.25">
      <c r="A700" t="s">
        <v>750</v>
      </c>
      <c r="B700" s="20">
        <v>45349</v>
      </c>
      <c r="C700" t="s">
        <v>45</v>
      </c>
      <c r="D700" t="s">
        <v>12</v>
      </c>
      <c r="E700" t="s">
        <v>142</v>
      </c>
      <c r="F700" t="s">
        <v>23</v>
      </c>
      <c r="G700">
        <v>1</v>
      </c>
      <c r="H700" s="1">
        <v>14.99</v>
      </c>
      <c r="I700" s="1">
        <v>14.99</v>
      </c>
      <c r="J700">
        <v>5</v>
      </c>
      <c r="K700" t="str">
        <f>TEXT(tbl_RawSales[[#This Row],[Order Date]],"mmm")</f>
        <v>Feb</v>
      </c>
      <c r="L700">
        <f>MONTH(tbl_RawSales[[#This Row],[Order Date]])</f>
        <v>2</v>
      </c>
      <c r="M700" t="str">
        <f>TEXT(tbl_RawSales[[#This Row],[Order Date]],"ddd")</f>
        <v>Tue</v>
      </c>
      <c r="N700">
        <f>WEEKDAY(tbl_RawSales[[#This Row],[Order Date]],2)</f>
        <v>2</v>
      </c>
    </row>
    <row r="701" spans="1:14" x14ac:dyDescent="0.25">
      <c r="A701" t="s">
        <v>751</v>
      </c>
      <c r="B701" s="20">
        <v>45292</v>
      </c>
      <c r="C701" t="s">
        <v>32</v>
      </c>
      <c r="D701" t="s">
        <v>12</v>
      </c>
      <c r="E701" t="s">
        <v>74</v>
      </c>
      <c r="F701" t="s">
        <v>14</v>
      </c>
      <c r="G701">
        <v>2</v>
      </c>
      <c r="H701" s="1">
        <v>14.99</v>
      </c>
      <c r="I701" s="1">
        <v>29.98</v>
      </c>
      <c r="J701">
        <v>5</v>
      </c>
      <c r="K701" t="str">
        <f>TEXT(tbl_RawSales[[#This Row],[Order Date]],"mmm")</f>
        <v>Jan</v>
      </c>
      <c r="L701">
        <f>MONTH(tbl_RawSales[[#This Row],[Order Date]])</f>
        <v>1</v>
      </c>
      <c r="M701" t="str">
        <f>TEXT(tbl_RawSales[[#This Row],[Order Date]],"ddd")</f>
        <v>Mon</v>
      </c>
      <c r="N701">
        <f>WEEKDAY(tbl_RawSales[[#This Row],[Order Date]],2)</f>
        <v>1</v>
      </c>
    </row>
    <row r="702" spans="1:14" x14ac:dyDescent="0.25">
      <c r="A702" t="s">
        <v>752</v>
      </c>
      <c r="B702" s="20">
        <v>45956</v>
      </c>
      <c r="C702" t="s">
        <v>45</v>
      </c>
      <c r="D702" t="s">
        <v>29</v>
      </c>
      <c r="E702" t="s">
        <v>39</v>
      </c>
      <c r="F702" t="s">
        <v>14</v>
      </c>
      <c r="G702">
        <v>2</v>
      </c>
      <c r="H702" s="1">
        <v>24.99</v>
      </c>
      <c r="I702" s="1">
        <v>49.98</v>
      </c>
      <c r="J702">
        <v>5</v>
      </c>
      <c r="K702" t="str">
        <f>TEXT(tbl_RawSales[[#This Row],[Order Date]],"mmm")</f>
        <v>Oct</v>
      </c>
      <c r="L702">
        <f>MONTH(tbl_RawSales[[#This Row],[Order Date]])</f>
        <v>10</v>
      </c>
      <c r="M702" t="str">
        <f>TEXT(tbl_RawSales[[#This Row],[Order Date]],"ddd")</f>
        <v>Sun</v>
      </c>
      <c r="N702">
        <f>WEEKDAY(tbl_RawSales[[#This Row],[Order Date]],2)</f>
        <v>7</v>
      </c>
    </row>
    <row r="703" spans="1:14" x14ac:dyDescent="0.25">
      <c r="A703" t="s">
        <v>753</v>
      </c>
      <c r="B703" s="20">
        <v>45457</v>
      </c>
      <c r="C703" t="s">
        <v>25</v>
      </c>
      <c r="D703" t="s">
        <v>17</v>
      </c>
      <c r="E703" t="s">
        <v>39</v>
      </c>
      <c r="F703" t="s">
        <v>14</v>
      </c>
      <c r="G703">
        <v>1</v>
      </c>
      <c r="H703" s="1">
        <v>24.99</v>
      </c>
      <c r="I703" s="1">
        <v>24.99</v>
      </c>
      <c r="J703">
        <v>4</v>
      </c>
      <c r="K703" t="str">
        <f>TEXT(tbl_RawSales[[#This Row],[Order Date]],"mmm")</f>
        <v>Jun</v>
      </c>
      <c r="L703">
        <f>MONTH(tbl_RawSales[[#This Row],[Order Date]])</f>
        <v>6</v>
      </c>
      <c r="M703" t="str">
        <f>TEXT(tbl_RawSales[[#This Row],[Order Date]],"ddd")</f>
        <v>Fri</v>
      </c>
      <c r="N703">
        <f>WEEKDAY(tbl_RawSales[[#This Row],[Order Date]],2)</f>
        <v>5</v>
      </c>
    </row>
    <row r="704" spans="1:14" x14ac:dyDescent="0.25">
      <c r="A704" t="s">
        <v>754</v>
      </c>
      <c r="B704" s="20">
        <v>45710</v>
      </c>
      <c r="C704" t="s">
        <v>11</v>
      </c>
      <c r="D704" t="s">
        <v>29</v>
      </c>
      <c r="E704" t="s">
        <v>13</v>
      </c>
      <c r="F704" t="s">
        <v>14</v>
      </c>
      <c r="G704">
        <v>2</v>
      </c>
      <c r="H704" s="1">
        <v>18.989999999999998</v>
      </c>
      <c r="I704" s="1">
        <v>37.979999999999997</v>
      </c>
      <c r="J704">
        <v>4</v>
      </c>
      <c r="K704" t="str">
        <f>TEXT(tbl_RawSales[[#This Row],[Order Date]],"mmm")</f>
        <v>Feb</v>
      </c>
      <c r="L704">
        <f>MONTH(tbl_RawSales[[#This Row],[Order Date]])</f>
        <v>2</v>
      </c>
      <c r="M704" t="str">
        <f>TEXT(tbl_RawSales[[#This Row],[Order Date]],"ddd")</f>
        <v>Sat</v>
      </c>
      <c r="N704">
        <f>WEEKDAY(tbl_RawSales[[#This Row],[Order Date]],2)</f>
        <v>6</v>
      </c>
    </row>
    <row r="705" spans="1:14" x14ac:dyDescent="0.25">
      <c r="A705" t="s">
        <v>755</v>
      </c>
      <c r="B705" s="20">
        <v>45450</v>
      </c>
      <c r="C705" t="s">
        <v>21</v>
      </c>
      <c r="D705" t="s">
        <v>29</v>
      </c>
      <c r="E705" t="s">
        <v>74</v>
      </c>
      <c r="F705" t="s">
        <v>14</v>
      </c>
      <c r="G705">
        <v>1</v>
      </c>
      <c r="H705" s="1">
        <v>14.99</v>
      </c>
      <c r="I705" s="1">
        <v>14.99</v>
      </c>
      <c r="J705">
        <v>4</v>
      </c>
      <c r="K705" t="str">
        <f>TEXT(tbl_RawSales[[#This Row],[Order Date]],"mmm")</f>
        <v>Jun</v>
      </c>
      <c r="L705">
        <f>MONTH(tbl_RawSales[[#This Row],[Order Date]])</f>
        <v>6</v>
      </c>
      <c r="M705" t="str">
        <f>TEXT(tbl_RawSales[[#This Row],[Order Date]],"ddd")</f>
        <v>Fri</v>
      </c>
      <c r="N705">
        <f>WEEKDAY(tbl_RawSales[[#This Row],[Order Date]],2)</f>
        <v>5</v>
      </c>
    </row>
    <row r="706" spans="1:14" x14ac:dyDescent="0.25">
      <c r="A706" t="s">
        <v>756</v>
      </c>
      <c r="B706" s="20">
        <v>45489</v>
      </c>
      <c r="C706" t="s">
        <v>32</v>
      </c>
      <c r="D706" t="s">
        <v>29</v>
      </c>
      <c r="E706" t="s">
        <v>176</v>
      </c>
      <c r="F706" t="s">
        <v>67</v>
      </c>
      <c r="G706">
        <v>2</v>
      </c>
      <c r="H706" s="1">
        <v>11.99</v>
      </c>
      <c r="I706" s="1">
        <v>23.98</v>
      </c>
      <c r="J706">
        <v>5</v>
      </c>
      <c r="K706" t="str">
        <f>TEXT(tbl_RawSales[[#This Row],[Order Date]],"mmm")</f>
        <v>Jul</v>
      </c>
      <c r="L706">
        <f>MONTH(tbl_RawSales[[#This Row],[Order Date]])</f>
        <v>7</v>
      </c>
      <c r="M706" t="str">
        <f>TEXT(tbl_RawSales[[#This Row],[Order Date]],"ddd")</f>
        <v>Tue</v>
      </c>
      <c r="N706">
        <f>WEEKDAY(tbl_RawSales[[#This Row],[Order Date]],2)</f>
        <v>2</v>
      </c>
    </row>
    <row r="707" spans="1:14" x14ac:dyDescent="0.25">
      <c r="A707" t="s">
        <v>757</v>
      </c>
      <c r="B707" s="20">
        <v>45490</v>
      </c>
      <c r="C707" t="s">
        <v>25</v>
      </c>
      <c r="D707" t="s">
        <v>12</v>
      </c>
      <c r="E707" t="s">
        <v>142</v>
      </c>
      <c r="F707" t="s">
        <v>23</v>
      </c>
      <c r="G707">
        <v>1</v>
      </c>
      <c r="H707" s="1">
        <v>14.99</v>
      </c>
      <c r="I707" s="1">
        <v>14.99</v>
      </c>
      <c r="J707">
        <v>4</v>
      </c>
      <c r="K707" t="str">
        <f>TEXT(tbl_RawSales[[#This Row],[Order Date]],"mmm")</f>
        <v>Jul</v>
      </c>
      <c r="L707">
        <f>MONTH(tbl_RawSales[[#This Row],[Order Date]])</f>
        <v>7</v>
      </c>
      <c r="M707" t="str">
        <f>TEXT(tbl_RawSales[[#This Row],[Order Date]],"ddd")</f>
        <v>Wed</v>
      </c>
      <c r="N707">
        <f>WEEKDAY(tbl_RawSales[[#This Row],[Order Date]],2)</f>
        <v>3</v>
      </c>
    </row>
    <row r="708" spans="1:14" x14ac:dyDescent="0.25">
      <c r="A708" t="s">
        <v>758</v>
      </c>
      <c r="B708" s="20">
        <v>45565</v>
      </c>
      <c r="C708" t="s">
        <v>32</v>
      </c>
      <c r="D708" t="s">
        <v>17</v>
      </c>
      <c r="E708" t="s">
        <v>30</v>
      </c>
      <c r="F708" t="s">
        <v>19</v>
      </c>
      <c r="G708">
        <v>1</v>
      </c>
      <c r="H708" s="1">
        <v>7.99</v>
      </c>
      <c r="I708" s="1">
        <v>7.99</v>
      </c>
      <c r="J708">
        <v>5</v>
      </c>
      <c r="K708" t="str">
        <f>TEXT(tbl_RawSales[[#This Row],[Order Date]],"mmm")</f>
        <v>Sept</v>
      </c>
      <c r="L708">
        <f>MONTH(tbl_RawSales[[#This Row],[Order Date]])</f>
        <v>9</v>
      </c>
      <c r="M708" t="str">
        <f>TEXT(tbl_RawSales[[#This Row],[Order Date]],"ddd")</f>
        <v>Mon</v>
      </c>
      <c r="N708">
        <f>WEEKDAY(tbl_RawSales[[#This Row],[Order Date]],2)</f>
        <v>1</v>
      </c>
    </row>
    <row r="709" spans="1:14" x14ac:dyDescent="0.25">
      <c r="A709" t="s">
        <v>759</v>
      </c>
      <c r="B709" s="20">
        <v>45509</v>
      </c>
      <c r="C709" t="s">
        <v>28</v>
      </c>
      <c r="D709" t="s">
        <v>29</v>
      </c>
      <c r="E709" t="s">
        <v>142</v>
      </c>
      <c r="F709" t="s">
        <v>23</v>
      </c>
      <c r="G709">
        <v>3</v>
      </c>
      <c r="H709" s="1">
        <v>14.99</v>
      </c>
      <c r="I709" s="1">
        <v>44.97</v>
      </c>
      <c r="J709">
        <v>5</v>
      </c>
      <c r="K709" t="str">
        <f>TEXT(tbl_RawSales[[#This Row],[Order Date]],"mmm")</f>
        <v>Aug</v>
      </c>
      <c r="L709">
        <f>MONTH(tbl_RawSales[[#This Row],[Order Date]])</f>
        <v>8</v>
      </c>
      <c r="M709" t="str">
        <f>TEXT(tbl_RawSales[[#This Row],[Order Date]],"ddd")</f>
        <v>Mon</v>
      </c>
      <c r="N709">
        <f>WEEKDAY(tbl_RawSales[[#This Row],[Order Date]],2)</f>
        <v>1</v>
      </c>
    </row>
    <row r="710" spans="1:14" x14ac:dyDescent="0.25">
      <c r="A710" t="s">
        <v>760</v>
      </c>
      <c r="B710" s="20">
        <v>45358</v>
      </c>
      <c r="C710" t="s">
        <v>11</v>
      </c>
      <c r="D710" t="s">
        <v>12</v>
      </c>
      <c r="E710" t="s">
        <v>66</v>
      </c>
      <c r="F710" t="s">
        <v>67</v>
      </c>
      <c r="G710">
        <v>1</v>
      </c>
      <c r="H710" s="1">
        <v>7.99</v>
      </c>
      <c r="I710" s="1">
        <v>7.99</v>
      </c>
      <c r="J710">
        <v>5</v>
      </c>
      <c r="K710" t="str">
        <f>TEXT(tbl_RawSales[[#This Row],[Order Date]],"mmm")</f>
        <v>Mar</v>
      </c>
      <c r="L710">
        <f>MONTH(tbl_RawSales[[#This Row],[Order Date]])</f>
        <v>3</v>
      </c>
      <c r="M710" t="str">
        <f>TEXT(tbl_RawSales[[#This Row],[Order Date]],"ddd")</f>
        <v>Thu</v>
      </c>
      <c r="N710">
        <f>WEEKDAY(tbl_RawSales[[#This Row],[Order Date]],2)</f>
        <v>4</v>
      </c>
    </row>
    <row r="711" spans="1:14" x14ac:dyDescent="0.25">
      <c r="A711" t="s">
        <v>761</v>
      </c>
      <c r="B711" s="20">
        <v>45700</v>
      </c>
      <c r="C711" t="s">
        <v>32</v>
      </c>
      <c r="D711" t="s">
        <v>29</v>
      </c>
      <c r="E711" t="s">
        <v>41</v>
      </c>
      <c r="F711" t="s">
        <v>23</v>
      </c>
      <c r="G711">
        <v>2</v>
      </c>
      <c r="H711" s="1">
        <v>12.99</v>
      </c>
      <c r="I711" s="1">
        <v>25.98</v>
      </c>
      <c r="J711">
        <v>3</v>
      </c>
      <c r="K711" t="str">
        <f>TEXT(tbl_RawSales[[#This Row],[Order Date]],"mmm")</f>
        <v>Feb</v>
      </c>
      <c r="L711">
        <f>MONTH(tbl_RawSales[[#This Row],[Order Date]])</f>
        <v>2</v>
      </c>
      <c r="M711" t="str">
        <f>TEXT(tbl_RawSales[[#This Row],[Order Date]],"ddd")</f>
        <v>Wed</v>
      </c>
      <c r="N711">
        <f>WEEKDAY(tbl_RawSales[[#This Row],[Order Date]],2)</f>
        <v>3</v>
      </c>
    </row>
    <row r="712" spans="1:14" x14ac:dyDescent="0.25">
      <c r="A712" t="s">
        <v>762</v>
      </c>
      <c r="B712" s="20">
        <v>45498</v>
      </c>
      <c r="C712" t="s">
        <v>28</v>
      </c>
      <c r="D712" t="s">
        <v>29</v>
      </c>
      <c r="E712" t="s">
        <v>74</v>
      </c>
      <c r="F712" t="s">
        <v>14</v>
      </c>
      <c r="G712">
        <v>2</v>
      </c>
      <c r="H712" s="1">
        <v>14.99</v>
      </c>
      <c r="I712" s="1">
        <v>29.98</v>
      </c>
      <c r="J712">
        <v>4</v>
      </c>
      <c r="K712" t="str">
        <f>TEXT(tbl_RawSales[[#This Row],[Order Date]],"mmm")</f>
        <v>Jul</v>
      </c>
      <c r="L712">
        <f>MONTH(tbl_RawSales[[#This Row],[Order Date]])</f>
        <v>7</v>
      </c>
      <c r="M712" t="str">
        <f>TEXT(tbl_RawSales[[#This Row],[Order Date]],"ddd")</f>
        <v>Thu</v>
      </c>
      <c r="N712">
        <f>WEEKDAY(tbl_RawSales[[#This Row],[Order Date]],2)</f>
        <v>4</v>
      </c>
    </row>
    <row r="713" spans="1:14" x14ac:dyDescent="0.25">
      <c r="A713" t="s">
        <v>763</v>
      </c>
      <c r="B713" s="20">
        <v>45589</v>
      </c>
      <c r="C713" t="s">
        <v>45</v>
      </c>
      <c r="D713" t="s">
        <v>17</v>
      </c>
      <c r="E713" t="s">
        <v>79</v>
      </c>
      <c r="F713" t="s">
        <v>67</v>
      </c>
      <c r="G713">
        <v>1</v>
      </c>
      <c r="H713" s="1">
        <v>10.99</v>
      </c>
      <c r="I713" s="1">
        <v>10.99</v>
      </c>
      <c r="J713">
        <v>4</v>
      </c>
      <c r="K713" t="str">
        <f>TEXT(tbl_RawSales[[#This Row],[Order Date]],"mmm")</f>
        <v>Oct</v>
      </c>
      <c r="L713">
        <f>MONTH(tbl_RawSales[[#This Row],[Order Date]])</f>
        <v>10</v>
      </c>
      <c r="M713" t="str">
        <f>TEXT(tbl_RawSales[[#This Row],[Order Date]],"ddd")</f>
        <v>Thu</v>
      </c>
      <c r="N713">
        <f>WEEKDAY(tbl_RawSales[[#This Row],[Order Date]],2)</f>
        <v>4</v>
      </c>
    </row>
    <row r="714" spans="1:14" x14ac:dyDescent="0.25">
      <c r="A714" t="s">
        <v>764</v>
      </c>
      <c r="B714" s="20">
        <v>45578</v>
      </c>
      <c r="C714" t="s">
        <v>11</v>
      </c>
      <c r="D714" t="s">
        <v>29</v>
      </c>
      <c r="E714" t="s">
        <v>36</v>
      </c>
      <c r="F714" t="s">
        <v>14</v>
      </c>
      <c r="G714">
        <v>2</v>
      </c>
      <c r="H714" s="1">
        <v>16.989999999999998</v>
      </c>
      <c r="I714" s="1">
        <v>33.979999999999997</v>
      </c>
      <c r="J714">
        <v>5</v>
      </c>
      <c r="K714" t="str">
        <f>TEXT(tbl_RawSales[[#This Row],[Order Date]],"mmm")</f>
        <v>Oct</v>
      </c>
      <c r="L714">
        <f>MONTH(tbl_RawSales[[#This Row],[Order Date]])</f>
        <v>10</v>
      </c>
      <c r="M714" t="str">
        <f>TEXT(tbl_RawSales[[#This Row],[Order Date]],"ddd")</f>
        <v>Sun</v>
      </c>
      <c r="N714">
        <f>WEEKDAY(tbl_RawSales[[#This Row],[Order Date]],2)</f>
        <v>7</v>
      </c>
    </row>
    <row r="715" spans="1:14" x14ac:dyDescent="0.25">
      <c r="A715" t="s">
        <v>765</v>
      </c>
      <c r="B715" s="20">
        <v>45394</v>
      </c>
      <c r="C715" t="s">
        <v>25</v>
      </c>
      <c r="D715" t="s">
        <v>17</v>
      </c>
      <c r="E715" t="s">
        <v>74</v>
      </c>
      <c r="F715" t="s">
        <v>14</v>
      </c>
      <c r="G715">
        <v>3</v>
      </c>
      <c r="H715" s="1">
        <v>14.99</v>
      </c>
      <c r="I715" s="1">
        <v>44.97</v>
      </c>
      <c r="J715">
        <v>4</v>
      </c>
      <c r="K715" t="str">
        <f>TEXT(tbl_RawSales[[#This Row],[Order Date]],"mmm")</f>
        <v>Apr</v>
      </c>
      <c r="L715">
        <f>MONTH(tbl_RawSales[[#This Row],[Order Date]])</f>
        <v>4</v>
      </c>
      <c r="M715" t="str">
        <f>TEXT(tbl_RawSales[[#This Row],[Order Date]],"ddd")</f>
        <v>Fri</v>
      </c>
      <c r="N715">
        <f>WEEKDAY(tbl_RawSales[[#This Row],[Order Date]],2)</f>
        <v>5</v>
      </c>
    </row>
    <row r="716" spans="1:14" x14ac:dyDescent="0.25">
      <c r="A716" t="s">
        <v>766</v>
      </c>
      <c r="B716" s="20">
        <v>45919</v>
      </c>
      <c r="C716" t="s">
        <v>21</v>
      </c>
      <c r="D716" t="s">
        <v>29</v>
      </c>
      <c r="E716" t="s">
        <v>30</v>
      </c>
      <c r="F716" t="s">
        <v>19</v>
      </c>
      <c r="G716">
        <v>1</v>
      </c>
      <c r="H716" s="1">
        <v>7.99</v>
      </c>
      <c r="I716" s="1">
        <v>7.99</v>
      </c>
      <c r="J716">
        <v>5</v>
      </c>
      <c r="K716" t="str">
        <f>TEXT(tbl_RawSales[[#This Row],[Order Date]],"mmm")</f>
        <v>Sept</v>
      </c>
      <c r="L716">
        <f>MONTH(tbl_RawSales[[#This Row],[Order Date]])</f>
        <v>9</v>
      </c>
      <c r="M716" t="str">
        <f>TEXT(tbl_RawSales[[#This Row],[Order Date]],"ddd")</f>
        <v>Fri</v>
      </c>
      <c r="N716">
        <f>WEEKDAY(tbl_RawSales[[#This Row],[Order Date]],2)</f>
        <v>5</v>
      </c>
    </row>
    <row r="717" spans="1:14" x14ac:dyDescent="0.25">
      <c r="A717" t="s">
        <v>767</v>
      </c>
      <c r="B717" s="20">
        <v>45748</v>
      </c>
      <c r="C717" t="s">
        <v>45</v>
      </c>
      <c r="D717" t="s">
        <v>12</v>
      </c>
      <c r="E717" t="s">
        <v>13</v>
      </c>
      <c r="F717" t="s">
        <v>14</v>
      </c>
      <c r="G717">
        <v>1</v>
      </c>
      <c r="H717" s="1">
        <v>18.989999999999998</v>
      </c>
      <c r="I717" s="1">
        <v>18.989999999999998</v>
      </c>
      <c r="J717">
        <v>1</v>
      </c>
      <c r="K717" t="str">
        <f>TEXT(tbl_RawSales[[#This Row],[Order Date]],"mmm")</f>
        <v>Apr</v>
      </c>
      <c r="L717">
        <f>MONTH(tbl_RawSales[[#This Row],[Order Date]])</f>
        <v>4</v>
      </c>
      <c r="M717" t="str">
        <f>TEXT(tbl_RawSales[[#This Row],[Order Date]],"ddd")</f>
        <v>Tue</v>
      </c>
      <c r="N717">
        <f>WEEKDAY(tbl_RawSales[[#This Row],[Order Date]],2)</f>
        <v>2</v>
      </c>
    </row>
    <row r="718" spans="1:14" x14ac:dyDescent="0.25">
      <c r="A718" t="s">
        <v>768</v>
      </c>
      <c r="B718" s="20">
        <v>45539</v>
      </c>
      <c r="C718" t="s">
        <v>45</v>
      </c>
      <c r="D718" t="s">
        <v>17</v>
      </c>
      <c r="E718" t="s">
        <v>39</v>
      </c>
      <c r="F718" t="s">
        <v>14</v>
      </c>
      <c r="G718">
        <v>1</v>
      </c>
      <c r="H718" s="1">
        <v>24.99</v>
      </c>
      <c r="I718" s="1">
        <v>24.99</v>
      </c>
      <c r="J718">
        <v>5</v>
      </c>
      <c r="K718" t="str">
        <f>TEXT(tbl_RawSales[[#This Row],[Order Date]],"mmm")</f>
        <v>Sept</v>
      </c>
      <c r="L718">
        <f>MONTH(tbl_RawSales[[#This Row],[Order Date]])</f>
        <v>9</v>
      </c>
      <c r="M718" t="str">
        <f>TEXT(tbl_RawSales[[#This Row],[Order Date]],"ddd")</f>
        <v>Wed</v>
      </c>
      <c r="N718">
        <f>WEEKDAY(tbl_RawSales[[#This Row],[Order Date]],2)</f>
        <v>3</v>
      </c>
    </row>
    <row r="719" spans="1:14" x14ac:dyDescent="0.25">
      <c r="A719" t="s">
        <v>769</v>
      </c>
      <c r="B719" s="20">
        <v>45794</v>
      </c>
      <c r="C719" t="s">
        <v>16</v>
      </c>
      <c r="D719" t="s">
        <v>12</v>
      </c>
      <c r="E719" t="s">
        <v>36</v>
      </c>
      <c r="F719" t="s">
        <v>14</v>
      </c>
      <c r="G719">
        <v>2</v>
      </c>
      <c r="H719" s="1">
        <v>16.989999999999998</v>
      </c>
      <c r="I719" s="1">
        <v>33.979999999999997</v>
      </c>
      <c r="J719">
        <v>3</v>
      </c>
      <c r="K719" t="str">
        <f>TEXT(tbl_RawSales[[#This Row],[Order Date]],"mmm")</f>
        <v>May</v>
      </c>
      <c r="L719">
        <f>MONTH(tbl_RawSales[[#This Row],[Order Date]])</f>
        <v>5</v>
      </c>
      <c r="M719" t="str">
        <f>TEXT(tbl_RawSales[[#This Row],[Order Date]],"ddd")</f>
        <v>Sat</v>
      </c>
      <c r="N719">
        <f>WEEKDAY(tbl_RawSales[[#This Row],[Order Date]],2)</f>
        <v>6</v>
      </c>
    </row>
    <row r="720" spans="1:14" x14ac:dyDescent="0.25">
      <c r="A720" t="s">
        <v>770</v>
      </c>
      <c r="B720" s="20">
        <v>45806</v>
      </c>
      <c r="C720" t="s">
        <v>32</v>
      </c>
      <c r="D720" t="s">
        <v>29</v>
      </c>
      <c r="E720" t="s">
        <v>112</v>
      </c>
      <c r="F720" t="s">
        <v>19</v>
      </c>
      <c r="G720">
        <v>3</v>
      </c>
      <c r="H720" s="1">
        <v>5.99</v>
      </c>
      <c r="I720" s="1">
        <v>17.97</v>
      </c>
      <c r="J720">
        <v>5</v>
      </c>
      <c r="K720" t="str">
        <f>TEXT(tbl_RawSales[[#This Row],[Order Date]],"mmm")</f>
        <v>May</v>
      </c>
      <c r="L720">
        <f>MONTH(tbl_RawSales[[#This Row],[Order Date]])</f>
        <v>5</v>
      </c>
      <c r="M720" t="str">
        <f>TEXT(tbl_RawSales[[#This Row],[Order Date]],"ddd")</f>
        <v>Thu</v>
      </c>
      <c r="N720">
        <f>WEEKDAY(tbl_RawSales[[#This Row],[Order Date]],2)</f>
        <v>4</v>
      </c>
    </row>
    <row r="721" spans="1:14" x14ac:dyDescent="0.25">
      <c r="A721" t="s">
        <v>771</v>
      </c>
      <c r="B721" s="20">
        <v>45348</v>
      </c>
      <c r="C721" t="s">
        <v>45</v>
      </c>
      <c r="D721" t="s">
        <v>29</v>
      </c>
      <c r="E721" t="s">
        <v>39</v>
      </c>
      <c r="F721" t="s">
        <v>14</v>
      </c>
      <c r="G721">
        <v>1</v>
      </c>
      <c r="H721" s="1">
        <v>24.99</v>
      </c>
      <c r="I721" s="1">
        <v>24.99</v>
      </c>
      <c r="J721">
        <v>3</v>
      </c>
      <c r="K721" t="str">
        <f>TEXT(tbl_RawSales[[#This Row],[Order Date]],"mmm")</f>
        <v>Feb</v>
      </c>
      <c r="L721">
        <f>MONTH(tbl_RawSales[[#This Row],[Order Date]])</f>
        <v>2</v>
      </c>
      <c r="M721" t="str">
        <f>TEXT(tbl_RawSales[[#This Row],[Order Date]],"ddd")</f>
        <v>Mon</v>
      </c>
      <c r="N721">
        <f>WEEKDAY(tbl_RawSales[[#This Row],[Order Date]],2)</f>
        <v>1</v>
      </c>
    </row>
    <row r="722" spans="1:14" x14ac:dyDescent="0.25">
      <c r="A722" t="s">
        <v>772</v>
      </c>
      <c r="B722" s="20">
        <v>45729</v>
      </c>
      <c r="C722" t="s">
        <v>32</v>
      </c>
      <c r="D722" t="s">
        <v>29</v>
      </c>
      <c r="E722" t="s">
        <v>18</v>
      </c>
      <c r="F722" t="s">
        <v>19</v>
      </c>
      <c r="G722">
        <v>2</v>
      </c>
      <c r="H722" s="1">
        <v>9.99</v>
      </c>
      <c r="I722" s="1">
        <v>19.98</v>
      </c>
      <c r="J722">
        <v>4</v>
      </c>
      <c r="K722" t="str">
        <f>TEXT(tbl_RawSales[[#This Row],[Order Date]],"mmm")</f>
        <v>Mar</v>
      </c>
      <c r="L722">
        <f>MONTH(tbl_RawSales[[#This Row],[Order Date]])</f>
        <v>3</v>
      </c>
      <c r="M722" t="str">
        <f>TEXT(tbl_RawSales[[#This Row],[Order Date]],"ddd")</f>
        <v>Thu</v>
      </c>
      <c r="N722">
        <f>WEEKDAY(tbl_RawSales[[#This Row],[Order Date]],2)</f>
        <v>4</v>
      </c>
    </row>
    <row r="723" spans="1:14" x14ac:dyDescent="0.25">
      <c r="A723" t="s">
        <v>773</v>
      </c>
      <c r="B723" s="20">
        <v>45585</v>
      </c>
      <c r="C723" t="s">
        <v>16</v>
      </c>
      <c r="D723" t="s">
        <v>12</v>
      </c>
      <c r="E723" t="s">
        <v>39</v>
      </c>
      <c r="F723" t="s">
        <v>14</v>
      </c>
      <c r="G723">
        <v>1</v>
      </c>
      <c r="H723" s="1">
        <v>24.99</v>
      </c>
      <c r="I723" s="1">
        <v>24.99</v>
      </c>
      <c r="J723">
        <v>4</v>
      </c>
      <c r="K723" t="str">
        <f>TEXT(tbl_RawSales[[#This Row],[Order Date]],"mmm")</f>
        <v>Oct</v>
      </c>
      <c r="L723">
        <f>MONTH(tbl_RawSales[[#This Row],[Order Date]])</f>
        <v>10</v>
      </c>
      <c r="M723" t="str">
        <f>TEXT(tbl_RawSales[[#This Row],[Order Date]],"ddd")</f>
        <v>Sun</v>
      </c>
      <c r="N723">
        <f>WEEKDAY(tbl_RawSales[[#This Row],[Order Date]],2)</f>
        <v>7</v>
      </c>
    </row>
    <row r="724" spans="1:14" x14ac:dyDescent="0.25">
      <c r="A724" t="s">
        <v>774</v>
      </c>
      <c r="B724" s="20">
        <v>45513</v>
      </c>
      <c r="C724" t="s">
        <v>11</v>
      </c>
      <c r="D724" t="s">
        <v>12</v>
      </c>
      <c r="E724" t="s">
        <v>13</v>
      </c>
      <c r="F724" t="s">
        <v>14</v>
      </c>
      <c r="G724">
        <v>2</v>
      </c>
      <c r="H724" s="1">
        <v>18.989999999999998</v>
      </c>
      <c r="I724" s="1">
        <v>37.979999999999997</v>
      </c>
      <c r="J724">
        <v>4</v>
      </c>
      <c r="K724" t="str">
        <f>TEXT(tbl_RawSales[[#This Row],[Order Date]],"mmm")</f>
        <v>Aug</v>
      </c>
      <c r="L724">
        <f>MONTH(tbl_RawSales[[#This Row],[Order Date]])</f>
        <v>8</v>
      </c>
      <c r="M724" t="str">
        <f>TEXT(tbl_RawSales[[#This Row],[Order Date]],"ddd")</f>
        <v>Fri</v>
      </c>
      <c r="N724">
        <f>WEEKDAY(tbl_RawSales[[#This Row],[Order Date]],2)</f>
        <v>5</v>
      </c>
    </row>
    <row r="725" spans="1:14" x14ac:dyDescent="0.25">
      <c r="A725" t="s">
        <v>775</v>
      </c>
      <c r="B725" s="20">
        <v>45557</v>
      </c>
      <c r="C725" t="s">
        <v>28</v>
      </c>
      <c r="D725" t="s">
        <v>12</v>
      </c>
      <c r="E725" t="s">
        <v>41</v>
      </c>
      <c r="F725" t="s">
        <v>23</v>
      </c>
      <c r="G725">
        <v>2</v>
      </c>
      <c r="H725" s="1">
        <v>12.99</v>
      </c>
      <c r="I725" s="1">
        <v>25.98</v>
      </c>
      <c r="J725">
        <v>5</v>
      </c>
      <c r="K725" t="str">
        <f>TEXT(tbl_RawSales[[#This Row],[Order Date]],"mmm")</f>
        <v>Sept</v>
      </c>
      <c r="L725">
        <f>MONTH(tbl_RawSales[[#This Row],[Order Date]])</f>
        <v>9</v>
      </c>
      <c r="M725" t="str">
        <f>TEXT(tbl_RawSales[[#This Row],[Order Date]],"ddd")</f>
        <v>Sun</v>
      </c>
      <c r="N725">
        <f>WEEKDAY(tbl_RawSales[[#This Row],[Order Date]],2)</f>
        <v>7</v>
      </c>
    </row>
    <row r="726" spans="1:14" x14ac:dyDescent="0.25">
      <c r="A726" t="s">
        <v>776</v>
      </c>
      <c r="B726" s="20">
        <v>45780</v>
      </c>
      <c r="C726" t="s">
        <v>34</v>
      </c>
      <c r="D726" t="s">
        <v>17</v>
      </c>
      <c r="E726" t="s">
        <v>50</v>
      </c>
      <c r="F726" t="s">
        <v>14</v>
      </c>
      <c r="G726">
        <v>2</v>
      </c>
      <c r="H726" s="1">
        <v>22.99</v>
      </c>
      <c r="I726" s="1">
        <v>45.98</v>
      </c>
      <c r="J726">
        <v>4</v>
      </c>
      <c r="K726" t="str">
        <f>TEXT(tbl_RawSales[[#This Row],[Order Date]],"mmm")</f>
        <v>May</v>
      </c>
      <c r="L726">
        <f>MONTH(tbl_RawSales[[#This Row],[Order Date]])</f>
        <v>5</v>
      </c>
      <c r="M726" t="str">
        <f>TEXT(tbl_RawSales[[#This Row],[Order Date]],"ddd")</f>
        <v>Sat</v>
      </c>
      <c r="N726">
        <f>WEEKDAY(tbl_RawSales[[#This Row],[Order Date]],2)</f>
        <v>6</v>
      </c>
    </row>
    <row r="727" spans="1:14" x14ac:dyDescent="0.25">
      <c r="A727" t="s">
        <v>777</v>
      </c>
      <c r="B727" s="20">
        <v>45592</v>
      </c>
      <c r="C727" t="s">
        <v>32</v>
      </c>
      <c r="D727" t="s">
        <v>17</v>
      </c>
      <c r="E727" t="s">
        <v>39</v>
      </c>
      <c r="F727" t="s">
        <v>14</v>
      </c>
      <c r="G727">
        <v>1</v>
      </c>
      <c r="H727" s="1">
        <v>24.99</v>
      </c>
      <c r="I727" s="1">
        <v>24.99</v>
      </c>
      <c r="J727">
        <v>3</v>
      </c>
      <c r="K727" t="str">
        <f>TEXT(tbl_RawSales[[#This Row],[Order Date]],"mmm")</f>
        <v>Oct</v>
      </c>
      <c r="L727">
        <f>MONTH(tbl_RawSales[[#This Row],[Order Date]])</f>
        <v>10</v>
      </c>
      <c r="M727" t="str">
        <f>TEXT(tbl_RawSales[[#This Row],[Order Date]],"ddd")</f>
        <v>Sun</v>
      </c>
      <c r="N727">
        <f>WEEKDAY(tbl_RawSales[[#This Row],[Order Date]],2)</f>
        <v>7</v>
      </c>
    </row>
    <row r="728" spans="1:14" x14ac:dyDescent="0.25">
      <c r="A728" t="s">
        <v>778</v>
      </c>
      <c r="B728" s="20">
        <v>45847</v>
      </c>
      <c r="C728" t="s">
        <v>21</v>
      </c>
      <c r="D728" t="s">
        <v>12</v>
      </c>
      <c r="E728" t="s">
        <v>142</v>
      </c>
      <c r="F728" t="s">
        <v>23</v>
      </c>
      <c r="G728">
        <v>1</v>
      </c>
      <c r="H728" s="1">
        <v>14.99</v>
      </c>
      <c r="I728" s="1">
        <v>14.99</v>
      </c>
      <c r="J728">
        <v>5</v>
      </c>
      <c r="K728" t="str">
        <f>TEXT(tbl_RawSales[[#This Row],[Order Date]],"mmm")</f>
        <v>Jul</v>
      </c>
      <c r="L728">
        <f>MONTH(tbl_RawSales[[#This Row],[Order Date]])</f>
        <v>7</v>
      </c>
      <c r="M728" t="str">
        <f>TEXT(tbl_RawSales[[#This Row],[Order Date]],"ddd")</f>
        <v>Wed</v>
      </c>
      <c r="N728">
        <f>WEEKDAY(tbl_RawSales[[#This Row],[Order Date]],2)</f>
        <v>3</v>
      </c>
    </row>
    <row r="729" spans="1:14" x14ac:dyDescent="0.25">
      <c r="A729" t="s">
        <v>779</v>
      </c>
      <c r="B729" s="20">
        <v>45678</v>
      </c>
      <c r="C729" t="s">
        <v>38</v>
      </c>
      <c r="D729" t="s">
        <v>17</v>
      </c>
      <c r="E729" t="s">
        <v>83</v>
      </c>
      <c r="F729" t="s">
        <v>14</v>
      </c>
      <c r="G729">
        <v>2</v>
      </c>
      <c r="H729" s="1">
        <v>17.989999999999998</v>
      </c>
      <c r="I729" s="1">
        <v>35.979999999999997</v>
      </c>
      <c r="J729">
        <v>5</v>
      </c>
      <c r="K729" t="str">
        <f>TEXT(tbl_RawSales[[#This Row],[Order Date]],"mmm")</f>
        <v>Jan</v>
      </c>
      <c r="L729">
        <f>MONTH(tbl_RawSales[[#This Row],[Order Date]])</f>
        <v>1</v>
      </c>
      <c r="M729" t="str">
        <f>TEXT(tbl_RawSales[[#This Row],[Order Date]],"ddd")</f>
        <v>Tue</v>
      </c>
      <c r="N729">
        <f>WEEKDAY(tbl_RawSales[[#This Row],[Order Date]],2)</f>
        <v>2</v>
      </c>
    </row>
    <row r="730" spans="1:14" x14ac:dyDescent="0.25">
      <c r="A730" t="s">
        <v>780</v>
      </c>
      <c r="B730" s="20">
        <v>45422</v>
      </c>
      <c r="C730" t="s">
        <v>34</v>
      </c>
      <c r="D730" t="s">
        <v>29</v>
      </c>
      <c r="E730" t="s">
        <v>13</v>
      </c>
      <c r="F730" t="s">
        <v>14</v>
      </c>
      <c r="G730">
        <v>1</v>
      </c>
      <c r="H730" s="1">
        <v>18.989999999999998</v>
      </c>
      <c r="I730" s="1">
        <v>18.989999999999998</v>
      </c>
      <c r="J730">
        <v>4</v>
      </c>
      <c r="K730" t="str">
        <f>TEXT(tbl_RawSales[[#This Row],[Order Date]],"mmm")</f>
        <v>May</v>
      </c>
      <c r="L730">
        <f>MONTH(tbl_RawSales[[#This Row],[Order Date]])</f>
        <v>5</v>
      </c>
      <c r="M730" t="str">
        <f>TEXT(tbl_RawSales[[#This Row],[Order Date]],"ddd")</f>
        <v>Fri</v>
      </c>
      <c r="N730">
        <f>WEEKDAY(tbl_RawSales[[#This Row],[Order Date]],2)</f>
        <v>5</v>
      </c>
    </row>
    <row r="731" spans="1:14" x14ac:dyDescent="0.25">
      <c r="A731" t="s">
        <v>781</v>
      </c>
      <c r="B731" s="20">
        <v>45938</v>
      </c>
      <c r="C731" t="s">
        <v>97</v>
      </c>
      <c r="D731" t="s">
        <v>12</v>
      </c>
      <c r="E731" t="s">
        <v>119</v>
      </c>
      <c r="F731" t="s">
        <v>19</v>
      </c>
      <c r="G731">
        <v>2</v>
      </c>
      <c r="H731" s="1">
        <v>4.99</v>
      </c>
      <c r="I731" s="1">
        <v>9.98</v>
      </c>
      <c r="J731">
        <v>2</v>
      </c>
      <c r="K731" t="str">
        <f>TEXT(tbl_RawSales[[#This Row],[Order Date]],"mmm")</f>
        <v>Oct</v>
      </c>
      <c r="L731">
        <f>MONTH(tbl_RawSales[[#This Row],[Order Date]])</f>
        <v>10</v>
      </c>
      <c r="M731" t="str">
        <f>TEXT(tbl_RawSales[[#This Row],[Order Date]],"ddd")</f>
        <v>Wed</v>
      </c>
      <c r="N731">
        <f>WEEKDAY(tbl_RawSales[[#This Row],[Order Date]],2)</f>
        <v>3</v>
      </c>
    </row>
    <row r="732" spans="1:14" x14ac:dyDescent="0.25">
      <c r="A732" t="s">
        <v>782</v>
      </c>
      <c r="B732" s="20">
        <v>45658</v>
      </c>
      <c r="C732" t="s">
        <v>97</v>
      </c>
      <c r="D732" t="s">
        <v>12</v>
      </c>
      <c r="E732" t="s">
        <v>83</v>
      </c>
      <c r="F732" t="s">
        <v>14</v>
      </c>
      <c r="G732">
        <v>1</v>
      </c>
      <c r="H732" s="1">
        <v>17.989999999999998</v>
      </c>
      <c r="I732" s="1">
        <v>17.989999999999998</v>
      </c>
      <c r="J732">
        <v>5</v>
      </c>
      <c r="K732" t="str">
        <f>TEXT(tbl_RawSales[[#This Row],[Order Date]],"mmm")</f>
        <v>Jan</v>
      </c>
      <c r="L732">
        <f>MONTH(tbl_RawSales[[#This Row],[Order Date]])</f>
        <v>1</v>
      </c>
      <c r="M732" t="str">
        <f>TEXT(tbl_RawSales[[#This Row],[Order Date]],"ddd")</f>
        <v>Wed</v>
      </c>
      <c r="N732">
        <f>WEEKDAY(tbl_RawSales[[#This Row],[Order Date]],2)</f>
        <v>3</v>
      </c>
    </row>
    <row r="733" spans="1:14" x14ac:dyDescent="0.25">
      <c r="A733" t="s">
        <v>783</v>
      </c>
      <c r="B733" s="20">
        <v>45648</v>
      </c>
      <c r="C733" t="s">
        <v>34</v>
      </c>
      <c r="D733" t="s">
        <v>17</v>
      </c>
      <c r="E733" t="s">
        <v>13</v>
      </c>
      <c r="F733" t="s">
        <v>14</v>
      </c>
      <c r="G733">
        <v>1</v>
      </c>
      <c r="H733" s="1">
        <v>18.989999999999998</v>
      </c>
      <c r="I733" s="1">
        <v>18.989999999999998</v>
      </c>
      <c r="J733">
        <v>3</v>
      </c>
      <c r="K733" t="str">
        <f>TEXT(tbl_RawSales[[#This Row],[Order Date]],"mmm")</f>
        <v>Dec</v>
      </c>
      <c r="L733">
        <f>MONTH(tbl_RawSales[[#This Row],[Order Date]])</f>
        <v>12</v>
      </c>
      <c r="M733" t="str">
        <f>TEXT(tbl_RawSales[[#This Row],[Order Date]],"ddd")</f>
        <v>Sun</v>
      </c>
      <c r="N733">
        <f>WEEKDAY(tbl_RawSales[[#This Row],[Order Date]],2)</f>
        <v>7</v>
      </c>
    </row>
    <row r="734" spans="1:14" x14ac:dyDescent="0.25">
      <c r="A734" t="s">
        <v>784</v>
      </c>
      <c r="B734" s="20">
        <v>45976</v>
      </c>
      <c r="C734" t="s">
        <v>97</v>
      </c>
      <c r="D734" t="s">
        <v>29</v>
      </c>
      <c r="E734" t="s">
        <v>69</v>
      </c>
      <c r="F734" t="s">
        <v>67</v>
      </c>
      <c r="G734">
        <v>1</v>
      </c>
      <c r="H734" s="1">
        <v>8.99</v>
      </c>
      <c r="I734" s="1">
        <v>8.99</v>
      </c>
      <c r="J734">
        <v>5</v>
      </c>
      <c r="K734" t="str">
        <f>TEXT(tbl_RawSales[[#This Row],[Order Date]],"mmm")</f>
        <v>Nov</v>
      </c>
      <c r="L734">
        <f>MONTH(tbl_RawSales[[#This Row],[Order Date]])</f>
        <v>11</v>
      </c>
      <c r="M734" t="str">
        <f>TEXT(tbl_RawSales[[#This Row],[Order Date]],"ddd")</f>
        <v>Sat</v>
      </c>
      <c r="N734">
        <f>WEEKDAY(tbl_RawSales[[#This Row],[Order Date]],2)</f>
        <v>6</v>
      </c>
    </row>
    <row r="735" spans="1:14" x14ac:dyDescent="0.25">
      <c r="A735" t="s">
        <v>785</v>
      </c>
      <c r="B735" s="20">
        <v>45868</v>
      </c>
      <c r="C735" t="s">
        <v>28</v>
      </c>
      <c r="D735" t="s">
        <v>17</v>
      </c>
      <c r="E735" t="s">
        <v>57</v>
      </c>
      <c r="F735" t="s">
        <v>14</v>
      </c>
      <c r="G735">
        <v>2</v>
      </c>
      <c r="H735" s="1">
        <v>15.99</v>
      </c>
      <c r="I735" s="1">
        <v>31.98</v>
      </c>
      <c r="J735">
        <v>5</v>
      </c>
      <c r="K735" t="str">
        <f>TEXT(tbl_RawSales[[#This Row],[Order Date]],"mmm")</f>
        <v>Jul</v>
      </c>
      <c r="L735">
        <f>MONTH(tbl_RawSales[[#This Row],[Order Date]])</f>
        <v>7</v>
      </c>
      <c r="M735" t="str">
        <f>TEXT(tbl_RawSales[[#This Row],[Order Date]],"ddd")</f>
        <v>Wed</v>
      </c>
      <c r="N735">
        <f>WEEKDAY(tbl_RawSales[[#This Row],[Order Date]],2)</f>
        <v>3</v>
      </c>
    </row>
    <row r="736" spans="1:14" x14ac:dyDescent="0.25">
      <c r="A736" t="s">
        <v>786</v>
      </c>
      <c r="B736" s="20">
        <v>45639</v>
      </c>
      <c r="C736" t="s">
        <v>45</v>
      </c>
      <c r="D736" t="s">
        <v>29</v>
      </c>
      <c r="E736" t="s">
        <v>62</v>
      </c>
      <c r="F736" t="s">
        <v>23</v>
      </c>
      <c r="G736">
        <v>1</v>
      </c>
      <c r="H736" s="1">
        <v>9.99</v>
      </c>
      <c r="I736" s="1">
        <v>9.99</v>
      </c>
      <c r="J736">
        <v>5</v>
      </c>
      <c r="K736" t="str">
        <f>TEXT(tbl_RawSales[[#This Row],[Order Date]],"mmm")</f>
        <v>Dec</v>
      </c>
      <c r="L736">
        <f>MONTH(tbl_RawSales[[#This Row],[Order Date]])</f>
        <v>12</v>
      </c>
      <c r="M736" t="str">
        <f>TEXT(tbl_RawSales[[#This Row],[Order Date]],"ddd")</f>
        <v>Fri</v>
      </c>
      <c r="N736">
        <f>WEEKDAY(tbl_RawSales[[#This Row],[Order Date]],2)</f>
        <v>5</v>
      </c>
    </row>
    <row r="737" spans="1:14" x14ac:dyDescent="0.25">
      <c r="A737" t="s">
        <v>787</v>
      </c>
      <c r="B737" s="20">
        <v>45479</v>
      </c>
      <c r="C737" t="s">
        <v>25</v>
      </c>
      <c r="D737" t="s">
        <v>29</v>
      </c>
      <c r="E737" t="s">
        <v>119</v>
      </c>
      <c r="F737" t="s">
        <v>19</v>
      </c>
      <c r="G737">
        <v>1</v>
      </c>
      <c r="H737" s="1">
        <v>4.99</v>
      </c>
      <c r="I737" s="1">
        <v>4.99</v>
      </c>
      <c r="J737">
        <v>5</v>
      </c>
      <c r="K737" t="str">
        <f>TEXT(tbl_RawSales[[#This Row],[Order Date]],"mmm")</f>
        <v>Jul</v>
      </c>
      <c r="L737">
        <f>MONTH(tbl_RawSales[[#This Row],[Order Date]])</f>
        <v>7</v>
      </c>
      <c r="M737" t="str">
        <f>TEXT(tbl_RawSales[[#This Row],[Order Date]],"ddd")</f>
        <v>Sat</v>
      </c>
      <c r="N737">
        <f>WEEKDAY(tbl_RawSales[[#This Row],[Order Date]],2)</f>
        <v>6</v>
      </c>
    </row>
    <row r="738" spans="1:14" x14ac:dyDescent="0.25">
      <c r="A738" t="s">
        <v>788</v>
      </c>
      <c r="B738" s="20">
        <v>46004</v>
      </c>
      <c r="C738" t="s">
        <v>34</v>
      </c>
      <c r="D738" t="s">
        <v>12</v>
      </c>
      <c r="E738" t="s">
        <v>50</v>
      </c>
      <c r="F738" t="s">
        <v>14</v>
      </c>
      <c r="G738">
        <v>3</v>
      </c>
      <c r="H738" s="1">
        <v>22.99</v>
      </c>
      <c r="I738" s="1">
        <v>68.97</v>
      </c>
      <c r="J738">
        <v>5</v>
      </c>
      <c r="K738" t="str">
        <f>TEXT(tbl_RawSales[[#This Row],[Order Date]],"mmm")</f>
        <v>Dec</v>
      </c>
      <c r="L738">
        <f>MONTH(tbl_RawSales[[#This Row],[Order Date]])</f>
        <v>12</v>
      </c>
      <c r="M738" t="str">
        <f>TEXT(tbl_RawSales[[#This Row],[Order Date]],"ddd")</f>
        <v>Sat</v>
      </c>
      <c r="N738">
        <f>WEEKDAY(tbl_RawSales[[#This Row],[Order Date]],2)</f>
        <v>6</v>
      </c>
    </row>
    <row r="739" spans="1:14" x14ac:dyDescent="0.25">
      <c r="A739" t="s">
        <v>789</v>
      </c>
      <c r="B739" s="20">
        <v>45621</v>
      </c>
      <c r="C739" t="s">
        <v>38</v>
      </c>
      <c r="D739" t="s">
        <v>29</v>
      </c>
      <c r="E739" t="s">
        <v>52</v>
      </c>
      <c r="F739" t="s">
        <v>19</v>
      </c>
      <c r="G739">
        <v>2</v>
      </c>
      <c r="H739" s="1">
        <v>6.99</v>
      </c>
      <c r="I739" s="1">
        <v>13.98</v>
      </c>
      <c r="J739">
        <v>1</v>
      </c>
      <c r="K739" t="str">
        <f>TEXT(tbl_RawSales[[#This Row],[Order Date]],"mmm")</f>
        <v>Nov</v>
      </c>
      <c r="L739">
        <f>MONTH(tbl_RawSales[[#This Row],[Order Date]])</f>
        <v>11</v>
      </c>
      <c r="M739" t="str">
        <f>TEXT(tbl_RawSales[[#This Row],[Order Date]],"ddd")</f>
        <v>Mon</v>
      </c>
      <c r="N739">
        <f>WEEKDAY(tbl_RawSales[[#This Row],[Order Date]],2)</f>
        <v>1</v>
      </c>
    </row>
    <row r="740" spans="1:14" x14ac:dyDescent="0.25">
      <c r="A740" t="s">
        <v>790</v>
      </c>
      <c r="B740" s="20">
        <v>45604</v>
      </c>
      <c r="C740" t="s">
        <v>28</v>
      </c>
      <c r="D740" t="s">
        <v>12</v>
      </c>
      <c r="E740" t="s">
        <v>79</v>
      </c>
      <c r="F740" t="s">
        <v>67</v>
      </c>
      <c r="G740">
        <v>1</v>
      </c>
      <c r="H740" s="1">
        <v>10.99</v>
      </c>
      <c r="I740" s="1">
        <v>10.99</v>
      </c>
      <c r="J740">
        <v>4</v>
      </c>
      <c r="K740" t="str">
        <f>TEXT(tbl_RawSales[[#This Row],[Order Date]],"mmm")</f>
        <v>Nov</v>
      </c>
      <c r="L740">
        <f>MONTH(tbl_RawSales[[#This Row],[Order Date]])</f>
        <v>11</v>
      </c>
      <c r="M740" t="str">
        <f>TEXT(tbl_RawSales[[#This Row],[Order Date]],"ddd")</f>
        <v>Fri</v>
      </c>
      <c r="N740">
        <f>WEEKDAY(tbl_RawSales[[#This Row],[Order Date]],2)</f>
        <v>5</v>
      </c>
    </row>
    <row r="741" spans="1:14" x14ac:dyDescent="0.25">
      <c r="A741" t="s">
        <v>791</v>
      </c>
      <c r="B741" s="20">
        <v>45374</v>
      </c>
      <c r="C741" t="s">
        <v>21</v>
      </c>
      <c r="D741" t="s">
        <v>29</v>
      </c>
      <c r="E741" t="s">
        <v>39</v>
      </c>
      <c r="F741" t="s">
        <v>14</v>
      </c>
      <c r="G741">
        <v>1</v>
      </c>
      <c r="H741" s="1">
        <v>24.99</v>
      </c>
      <c r="I741" s="1">
        <v>24.99</v>
      </c>
      <c r="J741">
        <v>4</v>
      </c>
      <c r="K741" t="str">
        <f>TEXT(tbl_RawSales[[#This Row],[Order Date]],"mmm")</f>
        <v>Mar</v>
      </c>
      <c r="L741">
        <f>MONTH(tbl_RawSales[[#This Row],[Order Date]])</f>
        <v>3</v>
      </c>
      <c r="M741" t="str">
        <f>TEXT(tbl_RawSales[[#This Row],[Order Date]],"ddd")</f>
        <v>Sat</v>
      </c>
      <c r="N741">
        <f>WEEKDAY(tbl_RawSales[[#This Row],[Order Date]],2)</f>
        <v>6</v>
      </c>
    </row>
    <row r="742" spans="1:14" x14ac:dyDescent="0.25">
      <c r="A742" t="s">
        <v>792</v>
      </c>
      <c r="B742" s="20">
        <v>45479</v>
      </c>
      <c r="C742" t="s">
        <v>16</v>
      </c>
      <c r="D742" t="s">
        <v>29</v>
      </c>
      <c r="E742" t="s">
        <v>83</v>
      </c>
      <c r="F742" t="s">
        <v>14</v>
      </c>
      <c r="G742">
        <v>1</v>
      </c>
      <c r="H742" s="1">
        <v>17.989999999999998</v>
      </c>
      <c r="I742" s="1">
        <v>17.989999999999998</v>
      </c>
      <c r="J742">
        <v>5</v>
      </c>
      <c r="K742" t="str">
        <f>TEXT(tbl_RawSales[[#This Row],[Order Date]],"mmm")</f>
        <v>Jul</v>
      </c>
      <c r="L742">
        <f>MONTH(tbl_RawSales[[#This Row],[Order Date]])</f>
        <v>7</v>
      </c>
      <c r="M742" t="str">
        <f>TEXT(tbl_RawSales[[#This Row],[Order Date]],"ddd")</f>
        <v>Sat</v>
      </c>
      <c r="N742">
        <f>WEEKDAY(tbl_RawSales[[#This Row],[Order Date]],2)</f>
        <v>6</v>
      </c>
    </row>
    <row r="743" spans="1:14" x14ac:dyDescent="0.25">
      <c r="A743" t="s">
        <v>793</v>
      </c>
      <c r="B743" s="20">
        <v>46014</v>
      </c>
      <c r="C743" t="s">
        <v>21</v>
      </c>
      <c r="D743" t="s">
        <v>29</v>
      </c>
      <c r="E743" t="s">
        <v>119</v>
      </c>
      <c r="F743" t="s">
        <v>19</v>
      </c>
      <c r="G743">
        <v>1</v>
      </c>
      <c r="H743" s="1">
        <v>4.99</v>
      </c>
      <c r="I743" s="1">
        <v>4.99</v>
      </c>
      <c r="J743">
        <v>5</v>
      </c>
      <c r="K743" t="str">
        <f>TEXT(tbl_RawSales[[#This Row],[Order Date]],"mmm")</f>
        <v>Dec</v>
      </c>
      <c r="L743">
        <f>MONTH(tbl_RawSales[[#This Row],[Order Date]])</f>
        <v>12</v>
      </c>
      <c r="M743" t="str">
        <f>TEXT(tbl_RawSales[[#This Row],[Order Date]],"ddd")</f>
        <v>Tue</v>
      </c>
      <c r="N743">
        <f>WEEKDAY(tbl_RawSales[[#This Row],[Order Date]],2)</f>
        <v>2</v>
      </c>
    </row>
    <row r="744" spans="1:14" x14ac:dyDescent="0.25">
      <c r="A744" t="s">
        <v>794</v>
      </c>
      <c r="B744" s="20">
        <v>45311</v>
      </c>
      <c r="C744" t="s">
        <v>38</v>
      </c>
      <c r="D744" t="s">
        <v>29</v>
      </c>
      <c r="E744" t="s">
        <v>79</v>
      </c>
      <c r="F744" t="s">
        <v>67</v>
      </c>
      <c r="G744">
        <v>1</v>
      </c>
      <c r="H744" s="1">
        <v>10.99</v>
      </c>
      <c r="I744" s="1">
        <v>10.99</v>
      </c>
      <c r="J744">
        <v>3</v>
      </c>
      <c r="K744" t="str">
        <f>TEXT(tbl_RawSales[[#This Row],[Order Date]],"mmm")</f>
        <v>Jan</v>
      </c>
      <c r="L744">
        <f>MONTH(tbl_RawSales[[#This Row],[Order Date]])</f>
        <v>1</v>
      </c>
      <c r="M744" t="str">
        <f>TEXT(tbl_RawSales[[#This Row],[Order Date]],"ddd")</f>
        <v>Sat</v>
      </c>
      <c r="N744">
        <f>WEEKDAY(tbl_RawSales[[#This Row],[Order Date]],2)</f>
        <v>6</v>
      </c>
    </row>
    <row r="745" spans="1:14" x14ac:dyDescent="0.25">
      <c r="A745" t="s">
        <v>795</v>
      </c>
      <c r="B745" s="20">
        <v>45888</v>
      </c>
      <c r="C745" t="s">
        <v>11</v>
      </c>
      <c r="D745" t="s">
        <v>12</v>
      </c>
      <c r="E745" t="s">
        <v>50</v>
      </c>
      <c r="F745" t="s">
        <v>14</v>
      </c>
      <c r="G745">
        <v>1</v>
      </c>
      <c r="H745" s="1">
        <v>22.99</v>
      </c>
      <c r="I745" s="1">
        <v>22.99</v>
      </c>
      <c r="J745">
        <v>5</v>
      </c>
      <c r="K745" t="str">
        <f>TEXT(tbl_RawSales[[#This Row],[Order Date]],"mmm")</f>
        <v>Aug</v>
      </c>
      <c r="L745">
        <f>MONTH(tbl_RawSales[[#This Row],[Order Date]])</f>
        <v>8</v>
      </c>
      <c r="M745" t="str">
        <f>TEXT(tbl_RawSales[[#This Row],[Order Date]],"ddd")</f>
        <v>Tue</v>
      </c>
      <c r="N745">
        <f>WEEKDAY(tbl_RawSales[[#This Row],[Order Date]],2)</f>
        <v>2</v>
      </c>
    </row>
    <row r="746" spans="1:14" x14ac:dyDescent="0.25">
      <c r="A746" t="s">
        <v>796</v>
      </c>
      <c r="B746" s="20">
        <v>45767</v>
      </c>
      <c r="C746" t="s">
        <v>45</v>
      </c>
      <c r="D746" t="s">
        <v>29</v>
      </c>
      <c r="E746" t="s">
        <v>119</v>
      </c>
      <c r="F746" t="s">
        <v>19</v>
      </c>
      <c r="G746">
        <v>1</v>
      </c>
      <c r="H746" s="1">
        <v>4.99</v>
      </c>
      <c r="I746" s="1">
        <v>4.99</v>
      </c>
      <c r="J746">
        <v>3</v>
      </c>
      <c r="K746" t="str">
        <f>TEXT(tbl_RawSales[[#This Row],[Order Date]],"mmm")</f>
        <v>Apr</v>
      </c>
      <c r="L746">
        <f>MONTH(tbl_RawSales[[#This Row],[Order Date]])</f>
        <v>4</v>
      </c>
      <c r="M746" t="str">
        <f>TEXT(tbl_RawSales[[#This Row],[Order Date]],"ddd")</f>
        <v>Sun</v>
      </c>
      <c r="N746">
        <f>WEEKDAY(tbl_RawSales[[#This Row],[Order Date]],2)</f>
        <v>7</v>
      </c>
    </row>
    <row r="747" spans="1:14" x14ac:dyDescent="0.25">
      <c r="A747" t="s">
        <v>797</v>
      </c>
      <c r="B747" s="20">
        <v>45531</v>
      </c>
      <c r="C747" t="s">
        <v>45</v>
      </c>
      <c r="D747" t="s">
        <v>29</v>
      </c>
      <c r="E747" t="s">
        <v>55</v>
      </c>
      <c r="F747" t="s">
        <v>23</v>
      </c>
      <c r="G747">
        <v>1</v>
      </c>
      <c r="H747" s="1">
        <v>10.99</v>
      </c>
      <c r="I747" s="1">
        <v>10.99</v>
      </c>
      <c r="J747">
        <v>4</v>
      </c>
      <c r="K747" t="str">
        <f>TEXT(tbl_RawSales[[#This Row],[Order Date]],"mmm")</f>
        <v>Aug</v>
      </c>
      <c r="L747">
        <f>MONTH(tbl_RawSales[[#This Row],[Order Date]])</f>
        <v>8</v>
      </c>
      <c r="M747" t="str">
        <f>TEXT(tbl_RawSales[[#This Row],[Order Date]],"ddd")</f>
        <v>Tue</v>
      </c>
      <c r="N747">
        <f>WEEKDAY(tbl_RawSales[[#This Row],[Order Date]],2)</f>
        <v>2</v>
      </c>
    </row>
    <row r="748" spans="1:14" x14ac:dyDescent="0.25">
      <c r="A748" t="s">
        <v>798</v>
      </c>
      <c r="B748" s="20">
        <v>45920</v>
      </c>
      <c r="C748" t="s">
        <v>21</v>
      </c>
      <c r="D748" t="s">
        <v>29</v>
      </c>
      <c r="E748" t="s">
        <v>36</v>
      </c>
      <c r="F748" t="s">
        <v>14</v>
      </c>
      <c r="G748">
        <v>2</v>
      </c>
      <c r="H748" s="1">
        <v>16.989999999999998</v>
      </c>
      <c r="I748" s="1">
        <v>33.979999999999997</v>
      </c>
      <c r="J748">
        <v>2</v>
      </c>
      <c r="K748" t="str">
        <f>TEXT(tbl_RawSales[[#This Row],[Order Date]],"mmm")</f>
        <v>Sept</v>
      </c>
      <c r="L748">
        <f>MONTH(tbl_RawSales[[#This Row],[Order Date]])</f>
        <v>9</v>
      </c>
      <c r="M748" t="str">
        <f>TEXT(tbl_RawSales[[#This Row],[Order Date]],"ddd")</f>
        <v>Sat</v>
      </c>
      <c r="N748">
        <f>WEEKDAY(tbl_RawSales[[#This Row],[Order Date]],2)</f>
        <v>6</v>
      </c>
    </row>
    <row r="749" spans="1:14" x14ac:dyDescent="0.25">
      <c r="A749" t="s">
        <v>799</v>
      </c>
      <c r="B749" s="20">
        <v>45638</v>
      </c>
      <c r="C749" t="s">
        <v>21</v>
      </c>
      <c r="D749" t="s">
        <v>12</v>
      </c>
      <c r="E749" t="s">
        <v>57</v>
      </c>
      <c r="F749" t="s">
        <v>14</v>
      </c>
      <c r="G749">
        <v>3</v>
      </c>
      <c r="H749" s="1">
        <v>15.99</v>
      </c>
      <c r="I749" s="1">
        <v>47.97</v>
      </c>
      <c r="J749">
        <v>3</v>
      </c>
      <c r="K749" t="str">
        <f>TEXT(tbl_RawSales[[#This Row],[Order Date]],"mmm")</f>
        <v>Dec</v>
      </c>
      <c r="L749">
        <f>MONTH(tbl_RawSales[[#This Row],[Order Date]])</f>
        <v>12</v>
      </c>
      <c r="M749" t="str">
        <f>TEXT(tbl_RawSales[[#This Row],[Order Date]],"ddd")</f>
        <v>Thu</v>
      </c>
      <c r="N749">
        <f>WEEKDAY(tbl_RawSales[[#This Row],[Order Date]],2)</f>
        <v>4</v>
      </c>
    </row>
    <row r="750" spans="1:14" x14ac:dyDescent="0.25">
      <c r="A750" t="s">
        <v>800</v>
      </c>
      <c r="B750" s="20">
        <v>45711</v>
      </c>
      <c r="C750" t="s">
        <v>11</v>
      </c>
      <c r="D750" t="s">
        <v>17</v>
      </c>
      <c r="E750" t="s">
        <v>55</v>
      </c>
      <c r="F750" t="s">
        <v>23</v>
      </c>
      <c r="G750">
        <v>1</v>
      </c>
      <c r="H750" s="1">
        <v>10.99</v>
      </c>
      <c r="I750" s="1">
        <v>10.99</v>
      </c>
      <c r="J750">
        <v>3</v>
      </c>
      <c r="K750" t="str">
        <f>TEXT(tbl_RawSales[[#This Row],[Order Date]],"mmm")</f>
        <v>Feb</v>
      </c>
      <c r="L750">
        <f>MONTH(tbl_RawSales[[#This Row],[Order Date]])</f>
        <v>2</v>
      </c>
      <c r="M750" t="str">
        <f>TEXT(tbl_RawSales[[#This Row],[Order Date]],"ddd")</f>
        <v>Sun</v>
      </c>
      <c r="N750">
        <f>WEEKDAY(tbl_RawSales[[#This Row],[Order Date]],2)</f>
        <v>7</v>
      </c>
    </row>
    <row r="751" spans="1:14" x14ac:dyDescent="0.25">
      <c r="A751" t="s">
        <v>801</v>
      </c>
      <c r="B751" s="20">
        <v>45894</v>
      </c>
      <c r="C751" t="s">
        <v>16</v>
      </c>
      <c r="D751" t="s">
        <v>29</v>
      </c>
      <c r="E751" t="s">
        <v>221</v>
      </c>
      <c r="F751" t="s">
        <v>67</v>
      </c>
      <c r="G751">
        <v>1</v>
      </c>
      <c r="H751" s="1">
        <v>9.99</v>
      </c>
      <c r="I751" s="1">
        <v>9.99</v>
      </c>
      <c r="J751">
        <v>5</v>
      </c>
      <c r="K751" t="str">
        <f>TEXT(tbl_RawSales[[#This Row],[Order Date]],"mmm")</f>
        <v>Aug</v>
      </c>
      <c r="L751">
        <f>MONTH(tbl_RawSales[[#This Row],[Order Date]])</f>
        <v>8</v>
      </c>
      <c r="M751" t="str">
        <f>TEXT(tbl_RawSales[[#This Row],[Order Date]],"ddd")</f>
        <v>Mon</v>
      </c>
      <c r="N751">
        <f>WEEKDAY(tbl_RawSales[[#This Row],[Order Date]],2)</f>
        <v>1</v>
      </c>
    </row>
    <row r="752" spans="1:14" x14ac:dyDescent="0.25">
      <c r="A752" t="s">
        <v>802</v>
      </c>
      <c r="B752" s="20">
        <v>45661</v>
      </c>
      <c r="C752" t="s">
        <v>32</v>
      </c>
      <c r="D752" t="s">
        <v>29</v>
      </c>
      <c r="E752" t="s">
        <v>74</v>
      </c>
      <c r="F752" t="s">
        <v>14</v>
      </c>
      <c r="G752">
        <v>1</v>
      </c>
      <c r="H752" s="1">
        <v>14.99</v>
      </c>
      <c r="I752" s="1">
        <v>14.99</v>
      </c>
      <c r="J752">
        <v>1</v>
      </c>
      <c r="K752" t="str">
        <f>TEXT(tbl_RawSales[[#This Row],[Order Date]],"mmm")</f>
        <v>Jan</v>
      </c>
      <c r="L752">
        <f>MONTH(tbl_RawSales[[#This Row],[Order Date]])</f>
        <v>1</v>
      </c>
      <c r="M752" t="str">
        <f>TEXT(tbl_RawSales[[#This Row],[Order Date]],"ddd")</f>
        <v>Sat</v>
      </c>
      <c r="N752">
        <f>WEEKDAY(tbl_RawSales[[#This Row],[Order Date]],2)</f>
        <v>6</v>
      </c>
    </row>
    <row r="753" spans="1:14" x14ac:dyDescent="0.25">
      <c r="A753" t="s">
        <v>803</v>
      </c>
      <c r="B753" s="20">
        <v>45763</v>
      </c>
      <c r="C753" t="s">
        <v>16</v>
      </c>
      <c r="D753" t="s">
        <v>12</v>
      </c>
      <c r="E753" t="s">
        <v>176</v>
      </c>
      <c r="F753" t="s">
        <v>67</v>
      </c>
      <c r="G753">
        <v>2</v>
      </c>
      <c r="H753" s="1">
        <v>11.99</v>
      </c>
      <c r="I753" s="1">
        <v>23.98</v>
      </c>
      <c r="J753">
        <v>5</v>
      </c>
      <c r="K753" t="str">
        <f>TEXT(tbl_RawSales[[#This Row],[Order Date]],"mmm")</f>
        <v>Apr</v>
      </c>
      <c r="L753">
        <f>MONTH(tbl_RawSales[[#This Row],[Order Date]])</f>
        <v>4</v>
      </c>
      <c r="M753" t="str">
        <f>TEXT(tbl_RawSales[[#This Row],[Order Date]],"ddd")</f>
        <v>Wed</v>
      </c>
      <c r="N753">
        <f>WEEKDAY(tbl_RawSales[[#This Row],[Order Date]],2)</f>
        <v>3</v>
      </c>
    </row>
    <row r="754" spans="1:14" x14ac:dyDescent="0.25">
      <c r="A754" t="s">
        <v>804</v>
      </c>
      <c r="B754" s="20">
        <v>45560</v>
      </c>
      <c r="C754" t="s">
        <v>45</v>
      </c>
      <c r="D754" t="s">
        <v>29</v>
      </c>
      <c r="E754" t="s">
        <v>22</v>
      </c>
      <c r="F754" t="s">
        <v>23</v>
      </c>
      <c r="G754">
        <v>3</v>
      </c>
      <c r="H754" s="1">
        <v>8.99</v>
      </c>
      <c r="I754" s="1">
        <v>26.97</v>
      </c>
      <c r="J754">
        <v>5</v>
      </c>
      <c r="K754" t="str">
        <f>TEXT(tbl_RawSales[[#This Row],[Order Date]],"mmm")</f>
        <v>Sept</v>
      </c>
      <c r="L754">
        <f>MONTH(tbl_RawSales[[#This Row],[Order Date]])</f>
        <v>9</v>
      </c>
      <c r="M754" t="str">
        <f>TEXT(tbl_RawSales[[#This Row],[Order Date]],"ddd")</f>
        <v>Wed</v>
      </c>
      <c r="N754">
        <f>WEEKDAY(tbl_RawSales[[#This Row],[Order Date]],2)</f>
        <v>3</v>
      </c>
    </row>
    <row r="755" spans="1:14" x14ac:dyDescent="0.25">
      <c r="A755" t="s">
        <v>805</v>
      </c>
      <c r="B755" s="20">
        <v>45645</v>
      </c>
      <c r="C755" t="s">
        <v>21</v>
      </c>
      <c r="D755" t="s">
        <v>12</v>
      </c>
      <c r="E755" t="s">
        <v>13</v>
      </c>
      <c r="F755" t="s">
        <v>14</v>
      </c>
      <c r="G755">
        <v>3</v>
      </c>
      <c r="H755" s="1">
        <v>18.989999999999998</v>
      </c>
      <c r="I755" s="1">
        <v>56.97</v>
      </c>
      <c r="J755">
        <v>5</v>
      </c>
      <c r="K755" t="str">
        <f>TEXT(tbl_RawSales[[#This Row],[Order Date]],"mmm")</f>
        <v>Dec</v>
      </c>
      <c r="L755">
        <f>MONTH(tbl_RawSales[[#This Row],[Order Date]])</f>
        <v>12</v>
      </c>
      <c r="M755" t="str">
        <f>TEXT(tbl_RawSales[[#This Row],[Order Date]],"ddd")</f>
        <v>Thu</v>
      </c>
      <c r="N755">
        <f>WEEKDAY(tbl_RawSales[[#This Row],[Order Date]],2)</f>
        <v>4</v>
      </c>
    </row>
    <row r="756" spans="1:14" x14ac:dyDescent="0.25">
      <c r="A756" t="s">
        <v>806</v>
      </c>
      <c r="B756" s="20">
        <v>45992</v>
      </c>
      <c r="C756" t="s">
        <v>32</v>
      </c>
      <c r="D756" t="s">
        <v>29</v>
      </c>
      <c r="E756" t="s">
        <v>83</v>
      </c>
      <c r="F756" t="s">
        <v>14</v>
      </c>
      <c r="G756">
        <v>1</v>
      </c>
      <c r="H756" s="1">
        <v>17.989999999999998</v>
      </c>
      <c r="I756" s="1">
        <v>17.989999999999998</v>
      </c>
      <c r="J756">
        <v>5</v>
      </c>
      <c r="K756" t="str">
        <f>TEXT(tbl_RawSales[[#This Row],[Order Date]],"mmm")</f>
        <v>Dec</v>
      </c>
      <c r="L756">
        <f>MONTH(tbl_RawSales[[#This Row],[Order Date]])</f>
        <v>12</v>
      </c>
      <c r="M756" t="str">
        <f>TEXT(tbl_RawSales[[#This Row],[Order Date]],"ddd")</f>
        <v>Mon</v>
      </c>
      <c r="N756">
        <f>WEEKDAY(tbl_RawSales[[#This Row],[Order Date]],2)</f>
        <v>1</v>
      </c>
    </row>
    <row r="757" spans="1:14" x14ac:dyDescent="0.25">
      <c r="A757" t="s">
        <v>807</v>
      </c>
      <c r="B757" s="20">
        <v>45449</v>
      </c>
      <c r="C757" t="s">
        <v>32</v>
      </c>
      <c r="D757" t="s">
        <v>29</v>
      </c>
      <c r="E757" t="s">
        <v>221</v>
      </c>
      <c r="F757" t="s">
        <v>67</v>
      </c>
      <c r="G757">
        <v>1</v>
      </c>
      <c r="H757" s="1">
        <v>9.99</v>
      </c>
      <c r="I757" s="1">
        <v>9.99</v>
      </c>
      <c r="J757">
        <v>3</v>
      </c>
      <c r="K757" t="str">
        <f>TEXT(tbl_RawSales[[#This Row],[Order Date]],"mmm")</f>
        <v>Jun</v>
      </c>
      <c r="L757">
        <f>MONTH(tbl_RawSales[[#This Row],[Order Date]])</f>
        <v>6</v>
      </c>
      <c r="M757" t="str">
        <f>TEXT(tbl_RawSales[[#This Row],[Order Date]],"ddd")</f>
        <v>Thu</v>
      </c>
      <c r="N757">
        <f>WEEKDAY(tbl_RawSales[[#This Row],[Order Date]],2)</f>
        <v>4</v>
      </c>
    </row>
    <row r="758" spans="1:14" x14ac:dyDescent="0.25">
      <c r="A758" t="s">
        <v>808</v>
      </c>
      <c r="B758" s="20">
        <v>45912</v>
      </c>
      <c r="C758" t="s">
        <v>25</v>
      </c>
      <c r="D758" t="s">
        <v>12</v>
      </c>
      <c r="E758" t="s">
        <v>74</v>
      </c>
      <c r="F758" t="s">
        <v>14</v>
      </c>
      <c r="G758">
        <v>2</v>
      </c>
      <c r="H758" s="1">
        <v>14.99</v>
      </c>
      <c r="I758" s="1">
        <v>29.98</v>
      </c>
      <c r="J758">
        <v>4</v>
      </c>
      <c r="K758" t="str">
        <f>TEXT(tbl_RawSales[[#This Row],[Order Date]],"mmm")</f>
        <v>Sept</v>
      </c>
      <c r="L758">
        <f>MONTH(tbl_RawSales[[#This Row],[Order Date]])</f>
        <v>9</v>
      </c>
      <c r="M758" t="str">
        <f>TEXT(tbl_RawSales[[#This Row],[Order Date]],"ddd")</f>
        <v>Fri</v>
      </c>
      <c r="N758">
        <f>WEEKDAY(tbl_RawSales[[#This Row],[Order Date]],2)</f>
        <v>5</v>
      </c>
    </row>
    <row r="759" spans="1:14" x14ac:dyDescent="0.25">
      <c r="A759" t="s">
        <v>809</v>
      </c>
      <c r="B759" s="20">
        <v>45946</v>
      </c>
      <c r="C759" t="s">
        <v>45</v>
      </c>
      <c r="D759" t="s">
        <v>29</v>
      </c>
      <c r="E759" t="s">
        <v>62</v>
      </c>
      <c r="F759" t="s">
        <v>23</v>
      </c>
      <c r="G759">
        <v>2</v>
      </c>
      <c r="H759" s="1">
        <v>9.99</v>
      </c>
      <c r="I759" s="1">
        <v>19.98</v>
      </c>
      <c r="J759">
        <v>4</v>
      </c>
      <c r="K759" t="str">
        <f>TEXT(tbl_RawSales[[#This Row],[Order Date]],"mmm")</f>
        <v>Oct</v>
      </c>
      <c r="L759">
        <f>MONTH(tbl_RawSales[[#This Row],[Order Date]])</f>
        <v>10</v>
      </c>
      <c r="M759" t="str">
        <f>TEXT(tbl_RawSales[[#This Row],[Order Date]],"ddd")</f>
        <v>Thu</v>
      </c>
      <c r="N759">
        <f>WEEKDAY(tbl_RawSales[[#This Row],[Order Date]],2)</f>
        <v>4</v>
      </c>
    </row>
    <row r="760" spans="1:14" x14ac:dyDescent="0.25">
      <c r="A760" t="s">
        <v>810</v>
      </c>
      <c r="B760" s="20">
        <v>45324</v>
      </c>
      <c r="C760" t="s">
        <v>16</v>
      </c>
      <c r="D760" t="s">
        <v>12</v>
      </c>
      <c r="E760" t="s">
        <v>119</v>
      </c>
      <c r="F760" t="s">
        <v>19</v>
      </c>
      <c r="G760">
        <v>1</v>
      </c>
      <c r="H760" s="1">
        <v>4.99</v>
      </c>
      <c r="I760" s="1">
        <v>4.99</v>
      </c>
      <c r="J760">
        <v>5</v>
      </c>
      <c r="K760" t="str">
        <f>TEXT(tbl_RawSales[[#This Row],[Order Date]],"mmm")</f>
        <v>Feb</v>
      </c>
      <c r="L760">
        <f>MONTH(tbl_RawSales[[#This Row],[Order Date]])</f>
        <v>2</v>
      </c>
      <c r="M760" t="str">
        <f>TEXT(tbl_RawSales[[#This Row],[Order Date]],"ddd")</f>
        <v>Fri</v>
      </c>
      <c r="N760">
        <f>WEEKDAY(tbl_RawSales[[#This Row],[Order Date]],2)</f>
        <v>5</v>
      </c>
    </row>
    <row r="761" spans="1:14" x14ac:dyDescent="0.25">
      <c r="A761" t="s">
        <v>811</v>
      </c>
      <c r="B761" s="20">
        <v>45557</v>
      </c>
      <c r="C761" t="s">
        <v>25</v>
      </c>
      <c r="D761" t="s">
        <v>29</v>
      </c>
      <c r="E761" t="s">
        <v>55</v>
      </c>
      <c r="F761" t="s">
        <v>23</v>
      </c>
      <c r="G761">
        <v>3</v>
      </c>
      <c r="H761" s="1">
        <v>10.99</v>
      </c>
      <c r="I761" s="1">
        <v>32.97</v>
      </c>
      <c r="J761">
        <v>5</v>
      </c>
      <c r="K761" t="str">
        <f>TEXT(tbl_RawSales[[#This Row],[Order Date]],"mmm")</f>
        <v>Sept</v>
      </c>
      <c r="L761">
        <f>MONTH(tbl_RawSales[[#This Row],[Order Date]])</f>
        <v>9</v>
      </c>
      <c r="M761" t="str">
        <f>TEXT(tbl_RawSales[[#This Row],[Order Date]],"ddd")</f>
        <v>Sun</v>
      </c>
      <c r="N761">
        <f>WEEKDAY(tbl_RawSales[[#This Row],[Order Date]],2)</f>
        <v>7</v>
      </c>
    </row>
    <row r="762" spans="1:14" x14ac:dyDescent="0.25">
      <c r="A762" t="s">
        <v>812</v>
      </c>
      <c r="B762" s="20">
        <v>45533</v>
      </c>
      <c r="C762" t="s">
        <v>21</v>
      </c>
      <c r="D762" t="s">
        <v>12</v>
      </c>
      <c r="E762" t="s">
        <v>41</v>
      </c>
      <c r="F762" t="s">
        <v>23</v>
      </c>
      <c r="G762">
        <v>3</v>
      </c>
      <c r="H762" s="1">
        <v>12.99</v>
      </c>
      <c r="I762" s="1">
        <v>38.97</v>
      </c>
      <c r="J762">
        <v>4</v>
      </c>
      <c r="K762" t="str">
        <f>TEXT(tbl_RawSales[[#This Row],[Order Date]],"mmm")</f>
        <v>Aug</v>
      </c>
      <c r="L762">
        <f>MONTH(tbl_RawSales[[#This Row],[Order Date]])</f>
        <v>8</v>
      </c>
      <c r="M762" t="str">
        <f>TEXT(tbl_RawSales[[#This Row],[Order Date]],"ddd")</f>
        <v>Thu</v>
      </c>
      <c r="N762">
        <f>WEEKDAY(tbl_RawSales[[#This Row],[Order Date]],2)</f>
        <v>4</v>
      </c>
    </row>
    <row r="763" spans="1:14" x14ac:dyDescent="0.25">
      <c r="A763" t="s">
        <v>813</v>
      </c>
      <c r="B763" s="20">
        <v>45738</v>
      </c>
      <c r="C763" t="s">
        <v>32</v>
      </c>
      <c r="D763" t="s">
        <v>29</v>
      </c>
      <c r="E763" t="s">
        <v>55</v>
      </c>
      <c r="F763" t="s">
        <v>23</v>
      </c>
      <c r="G763">
        <v>1</v>
      </c>
      <c r="H763" s="1">
        <v>10.99</v>
      </c>
      <c r="I763" s="1">
        <v>10.99</v>
      </c>
      <c r="J763">
        <v>3</v>
      </c>
      <c r="K763" t="str">
        <f>TEXT(tbl_RawSales[[#This Row],[Order Date]],"mmm")</f>
        <v>Mar</v>
      </c>
      <c r="L763">
        <f>MONTH(tbl_RawSales[[#This Row],[Order Date]])</f>
        <v>3</v>
      </c>
      <c r="M763" t="str">
        <f>TEXT(tbl_RawSales[[#This Row],[Order Date]],"ddd")</f>
        <v>Sat</v>
      </c>
      <c r="N763">
        <f>WEEKDAY(tbl_RawSales[[#This Row],[Order Date]],2)</f>
        <v>6</v>
      </c>
    </row>
    <row r="764" spans="1:14" x14ac:dyDescent="0.25">
      <c r="A764" t="s">
        <v>814</v>
      </c>
      <c r="B764" s="20">
        <v>45859</v>
      </c>
      <c r="C764" t="s">
        <v>97</v>
      </c>
      <c r="D764" t="s">
        <v>29</v>
      </c>
      <c r="E764" t="s">
        <v>83</v>
      </c>
      <c r="F764" t="s">
        <v>14</v>
      </c>
      <c r="G764">
        <v>1</v>
      </c>
      <c r="H764" s="1">
        <v>17.989999999999998</v>
      </c>
      <c r="I764" s="1">
        <v>17.989999999999998</v>
      </c>
      <c r="J764">
        <v>4</v>
      </c>
      <c r="K764" t="str">
        <f>TEXT(tbl_RawSales[[#This Row],[Order Date]],"mmm")</f>
        <v>Jul</v>
      </c>
      <c r="L764">
        <f>MONTH(tbl_RawSales[[#This Row],[Order Date]])</f>
        <v>7</v>
      </c>
      <c r="M764" t="str">
        <f>TEXT(tbl_RawSales[[#This Row],[Order Date]],"ddd")</f>
        <v>Mon</v>
      </c>
      <c r="N764">
        <f>WEEKDAY(tbl_RawSales[[#This Row],[Order Date]],2)</f>
        <v>1</v>
      </c>
    </row>
    <row r="765" spans="1:14" x14ac:dyDescent="0.25">
      <c r="A765" t="s">
        <v>815</v>
      </c>
      <c r="B765" s="20">
        <v>45626</v>
      </c>
      <c r="C765" t="s">
        <v>45</v>
      </c>
      <c r="D765" t="s">
        <v>12</v>
      </c>
      <c r="E765" t="s">
        <v>18</v>
      </c>
      <c r="F765" t="s">
        <v>19</v>
      </c>
      <c r="G765">
        <v>3</v>
      </c>
      <c r="H765" s="1">
        <v>9.99</v>
      </c>
      <c r="I765" s="1">
        <v>29.97</v>
      </c>
      <c r="J765">
        <v>5</v>
      </c>
      <c r="K765" t="str">
        <f>TEXT(tbl_RawSales[[#This Row],[Order Date]],"mmm")</f>
        <v>Nov</v>
      </c>
      <c r="L765">
        <f>MONTH(tbl_RawSales[[#This Row],[Order Date]])</f>
        <v>11</v>
      </c>
      <c r="M765" t="str">
        <f>TEXT(tbl_RawSales[[#This Row],[Order Date]],"ddd")</f>
        <v>Sat</v>
      </c>
      <c r="N765">
        <f>WEEKDAY(tbl_RawSales[[#This Row],[Order Date]],2)</f>
        <v>6</v>
      </c>
    </row>
    <row r="766" spans="1:14" x14ac:dyDescent="0.25">
      <c r="A766" t="s">
        <v>816</v>
      </c>
      <c r="B766" s="20">
        <v>45630</v>
      </c>
      <c r="C766" t="s">
        <v>25</v>
      </c>
      <c r="D766" t="s">
        <v>17</v>
      </c>
      <c r="E766" t="s">
        <v>57</v>
      </c>
      <c r="F766" t="s">
        <v>14</v>
      </c>
      <c r="G766">
        <v>1</v>
      </c>
      <c r="H766" s="1">
        <v>15.99</v>
      </c>
      <c r="I766" s="1">
        <v>15.99</v>
      </c>
      <c r="J766">
        <v>4</v>
      </c>
      <c r="K766" t="str">
        <f>TEXT(tbl_RawSales[[#This Row],[Order Date]],"mmm")</f>
        <v>Dec</v>
      </c>
      <c r="L766">
        <f>MONTH(tbl_RawSales[[#This Row],[Order Date]])</f>
        <v>12</v>
      </c>
      <c r="M766" t="str">
        <f>TEXT(tbl_RawSales[[#This Row],[Order Date]],"ddd")</f>
        <v>Wed</v>
      </c>
      <c r="N766">
        <f>WEEKDAY(tbl_RawSales[[#This Row],[Order Date]],2)</f>
        <v>3</v>
      </c>
    </row>
    <row r="767" spans="1:14" x14ac:dyDescent="0.25">
      <c r="A767" t="s">
        <v>817</v>
      </c>
      <c r="B767" s="20">
        <v>45997</v>
      </c>
      <c r="C767" t="s">
        <v>97</v>
      </c>
      <c r="D767" t="s">
        <v>29</v>
      </c>
      <c r="E767" t="s">
        <v>36</v>
      </c>
      <c r="F767" t="s">
        <v>14</v>
      </c>
      <c r="G767">
        <v>1</v>
      </c>
      <c r="H767" s="1">
        <v>16.989999999999998</v>
      </c>
      <c r="I767" s="1">
        <v>16.989999999999998</v>
      </c>
      <c r="J767">
        <v>2</v>
      </c>
      <c r="K767" t="str">
        <f>TEXT(tbl_RawSales[[#This Row],[Order Date]],"mmm")</f>
        <v>Dec</v>
      </c>
      <c r="L767">
        <f>MONTH(tbl_RawSales[[#This Row],[Order Date]])</f>
        <v>12</v>
      </c>
      <c r="M767" t="str">
        <f>TEXT(tbl_RawSales[[#This Row],[Order Date]],"ddd")</f>
        <v>Sat</v>
      </c>
      <c r="N767">
        <f>WEEKDAY(tbl_RawSales[[#This Row],[Order Date]],2)</f>
        <v>6</v>
      </c>
    </row>
    <row r="768" spans="1:14" x14ac:dyDescent="0.25">
      <c r="A768" t="s">
        <v>818</v>
      </c>
      <c r="B768" s="20">
        <v>45334</v>
      </c>
      <c r="C768" t="s">
        <v>11</v>
      </c>
      <c r="D768" t="s">
        <v>29</v>
      </c>
      <c r="E768" t="s">
        <v>119</v>
      </c>
      <c r="F768" t="s">
        <v>19</v>
      </c>
      <c r="G768">
        <v>1</v>
      </c>
      <c r="H768" s="1">
        <v>4.99</v>
      </c>
      <c r="I768" s="1">
        <v>4.99</v>
      </c>
      <c r="J768">
        <v>4</v>
      </c>
      <c r="K768" t="str">
        <f>TEXT(tbl_RawSales[[#This Row],[Order Date]],"mmm")</f>
        <v>Feb</v>
      </c>
      <c r="L768">
        <f>MONTH(tbl_RawSales[[#This Row],[Order Date]])</f>
        <v>2</v>
      </c>
      <c r="M768" t="str">
        <f>TEXT(tbl_RawSales[[#This Row],[Order Date]],"ddd")</f>
        <v>Mon</v>
      </c>
      <c r="N768">
        <f>WEEKDAY(tbl_RawSales[[#This Row],[Order Date]],2)</f>
        <v>1</v>
      </c>
    </row>
    <row r="769" spans="1:14" x14ac:dyDescent="0.25">
      <c r="A769" t="s">
        <v>819</v>
      </c>
      <c r="B769" s="20">
        <v>45298</v>
      </c>
      <c r="C769" t="s">
        <v>11</v>
      </c>
      <c r="D769" t="s">
        <v>12</v>
      </c>
      <c r="E769" t="s">
        <v>52</v>
      </c>
      <c r="F769" t="s">
        <v>19</v>
      </c>
      <c r="G769">
        <v>2</v>
      </c>
      <c r="H769" s="1">
        <v>6.99</v>
      </c>
      <c r="I769" s="1">
        <v>13.98</v>
      </c>
      <c r="J769">
        <v>3</v>
      </c>
      <c r="K769" t="str">
        <f>TEXT(tbl_RawSales[[#This Row],[Order Date]],"mmm")</f>
        <v>Jan</v>
      </c>
      <c r="L769">
        <f>MONTH(tbl_RawSales[[#This Row],[Order Date]])</f>
        <v>1</v>
      </c>
      <c r="M769" t="str">
        <f>TEXT(tbl_RawSales[[#This Row],[Order Date]],"ddd")</f>
        <v>Sun</v>
      </c>
      <c r="N769">
        <f>WEEKDAY(tbl_RawSales[[#This Row],[Order Date]],2)</f>
        <v>7</v>
      </c>
    </row>
    <row r="770" spans="1:14" x14ac:dyDescent="0.25">
      <c r="A770" t="s">
        <v>820</v>
      </c>
      <c r="B770" s="20">
        <v>45898</v>
      </c>
      <c r="C770" t="s">
        <v>45</v>
      </c>
      <c r="D770" t="s">
        <v>29</v>
      </c>
      <c r="E770" t="s">
        <v>50</v>
      </c>
      <c r="F770" t="s">
        <v>14</v>
      </c>
      <c r="G770">
        <v>2</v>
      </c>
      <c r="H770" s="1">
        <v>22.99</v>
      </c>
      <c r="I770" s="1">
        <v>45.98</v>
      </c>
      <c r="J770">
        <v>3</v>
      </c>
      <c r="K770" t="str">
        <f>TEXT(tbl_RawSales[[#This Row],[Order Date]],"mmm")</f>
        <v>Aug</v>
      </c>
      <c r="L770">
        <f>MONTH(tbl_RawSales[[#This Row],[Order Date]])</f>
        <v>8</v>
      </c>
      <c r="M770" t="str">
        <f>TEXT(tbl_RawSales[[#This Row],[Order Date]],"ddd")</f>
        <v>Fri</v>
      </c>
      <c r="N770">
        <f>WEEKDAY(tbl_RawSales[[#This Row],[Order Date]],2)</f>
        <v>5</v>
      </c>
    </row>
    <row r="771" spans="1:14" x14ac:dyDescent="0.25">
      <c r="A771" t="s">
        <v>821</v>
      </c>
      <c r="B771" s="20">
        <v>45729</v>
      </c>
      <c r="C771" t="s">
        <v>38</v>
      </c>
      <c r="D771" t="s">
        <v>17</v>
      </c>
      <c r="E771" t="s">
        <v>26</v>
      </c>
      <c r="F771" t="s">
        <v>19</v>
      </c>
      <c r="G771">
        <v>3</v>
      </c>
      <c r="H771" s="1">
        <v>3.49</v>
      </c>
      <c r="I771" s="1">
        <v>10.47</v>
      </c>
      <c r="J771">
        <v>5</v>
      </c>
      <c r="K771" t="str">
        <f>TEXT(tbl_RawSales[[#This Row],[Order Date]],"mmm")</f>
        <v>Mar</v>
      </c>
      <c r="L771">
        <f>MONTH(tbl_RawSales[[#This Row],[Order Date]])</f>
        <v>3</v>
      </c>
      <c r="M771" t="str">
        <f>TEXT(tbl_RawSales[[#This Row],[Order Date]],"ddd")</f>
        <v>Thu</v>
      </c>
      <c r="N771">
        <f>WEEKDAY(tbl_RawSales[[#This Row],[Order Date]],2)</f>
        <v>4</v>
      </c>
    </row>
    <row r="772" spans="1:14" x14ac:dyDescent="0.25">
      <c r="A772" t="s">
        <v>822</v>
      </c>
      <c r="B772" s="20">
        <v>45403</v>
      </c>
      <c r="C772" t="s">
        <v>16</v>
      </c>
      <c r="D772" t="s">
        <v>29</v>
      </c>
      <c r="E772" t="s">
        <v>50</v>
      </c>
      <c r="F772" t="s">
        <v>14</v>
      </c>
      <c r="G772">
        <v>2</v>
      </c>
      <c r="H772" s="1">
        <v>22.99</v>
      </c>
      <c r="I772" s="1">
        <v>45.98</v>
      </c>
      <c r="J772">
        <v>5</v>
      </c>
      <c r="K772" t="str">
        <f>TEXT(tbl_RawSales[[#This Row],[Order Date]],"mmm")</f>
        <v>Apr</v>
      </c>
      <c r="L772">
        <f>MONTH(tbl_RawSales[[#This Row],[Order Date]])</f>
        <v>4</v>
      </c>
      <c r="M772" t="str">
        <f>TEXT(tbl_RawSales[[#This Row],[Order Date]],"ddd")</f>
        <v>Sun</v>
      </c>
      <c r="N772">
        <f>WEEKDAY(tbl_RawSales[[#This Row],[Order Date]],2)</f>
        <v>7</v>
      </c>
    </row>
    <row r="773" spans="1:14" x14ac:dyDescent="0.25">
      <c r="A773" t="s">
        <v>823</v>
      </c>
      <c r="B773" s="20">
        <v>45468</v>
      </c>
      <c r="C773" t="s">
        <v>11</v>
      </c>
      <c r="D773" t="s">
        <v>29</v>
      </c>
      <c r="E773" t="s">
        <v>74</v>
      </c>
      <c r="F773" t="s">
        <v>14</v>
      </c>
      <c r="G773">
        <v>2</v>
      </c>
      <c r="H773" s="1">
        <v>14.99</v>
      </c>
      <c r="I773" s="1">
        <v>29.98</v>
      </c>
      <c r="J773">
        <v>5</v>
      </c>
      <c r="K773" t="str">
        <f>TEXT(tbl_RawSales[[#This Row],[Order Date]],"mmm")</f>
        <v>Jun</v>
      </c>
      <c r="L773">
        <f>MONTH(tbl_RawSales[[#This Row],[Order Date]])</f>
        <v>6</v>
      </c>
      <c r="M773" t="str">
        <f>TEXT(tbl_RawSales[[#This Row],[Order Date]],"ddd")</f>
        <v>Tue</v>
      </c>
      <c r="N773">
        <f>WEEKDAY(tbl_RawSales[[#This Row],[Order Date]],2)</f>
        <v>2</v>
      </c>
    </row>
    <row r="774" spans="1:14" x14ac:dyDescent="0.25">
      <c r="A774" t="s">
        <v>824</v>
      </c>
      <c r="B774" s="20">
        <v>45754</v>
      </c>
      <c r="C774" t="s">
        <v>32</v>
      </c>
      <c r="D774" t="s">
        <v>29</v>
      </c>
      <c r="E774" t="s">
        <v>13</v>
      </c>
      <c r="F774" t="s">
        <v>14</v>
      </c>
      <c r="G774">
        <v>1</v>
      </c>
      <c r="H774" s="1">
        <v>18.989999999999998</v>
      </c>
      <c r="I774" s="1">
        <v>18.989999999999998</v>
      </c>
      <c r="J774">
        <v>3</v>
      </c>
      <c r="K774" t="str">
        <f>TEXT(tbl_RawSales[[#This Row],[Order Date]],"mmm")</f>
        <v>Apr</v>
      </c>
      <c r="L774">
        <f>MONTH(tbl_RawSales[[#This Row],[Order Date]])</f>
        <v>4</v>
      </c>
      <c r="M774" t="str">
        <f>TEXT(tbl_RawSales[[#This Row],[Order Date]],"ddd")</f>
        <v>Mon</v>
      </c>
      <c r="N774">
        <f>WEEKDAY(tbl_RawSales[[#This Row],[Order Date]],2)</f>
        <v>1</v>
      </c>
    </row>
    <row r="775" spans="1:14" x14ac:dyDescent="0.25">
      <c r="A775" t="s">
        <v>825</v>
      </c>
      <c r="B775" s="20">
        <v>45477</v>
      </c>
      <c r="C775" t="s">
        <v>97</v>
      </c>
      <c r="D775" t="s">
        <v>17</v>
      </c>
      <c r="E775" t="s">
        <v>22</v>
      </c>
      <c r="F775" t="s">
        <v>23</v>
      </c>
      <c r="G775">
        <v>3</v>
      </c>
      <c r="H775" s="1">
        <v>8.99</v>
      </c>
      <c r="I775" s="1">
        <v>26.97</v>
      </c>
      <c r="J775">
        <v>3</v>
      </c>
      <c r="K775" t="str">
        <f>TEXT(tbl_RawSales[[#This Row],[Order Date]],"mmm")</f>
        <v>Jul</v>
      </c>
      <c r="L775">
        <f>MONTH(tbl_RawSales[[#This Row],[Order Date]])</f>
        <v>7</v>
      </c>
      <c r="M775" t="str">
        <f>TEXT(tbl_RawSales[[#This Row],[Order Date]],"ddd")</f>
        <v>Thu</v>
      </c>
      <c r="N775">
        <f>WEEKDAY(tbl_RawSales[[#This Row],[Order Date]],2)</f>
        <v>4</v>
      </c>
    </row>
    <row r="776" spans="1:14" x14ac:dyDescent="0.25">
      <c r="A776" t="s">
        <v>826</v>
      </c>
      <c r="B776" s="20">
        <v>45871</v>
      </c>
      <c r="C776" t="s">
        <v>32</v>
      </c>
      <c r="D776" t="s">
        <v>12</v>
      </c>
      <c r="E776" t="s">
        <v>66</v>
      </c>
      <c r="F776" t="s">
        <v>67</v>
      </c>
      <c r="G776">
        <v>2</v>
      </c>
      <c r="H776" s="1">
        <v>7.99</v>
      </c>
      <c r="I776" s="1">
        <v>15.98</v>
      </c>
      <c r="J776">
        <v>5</v>
      </c>
      <c r="K776" t="str">
        <f>TEXT(tbl_RawSales[[#This Row],[Order Date]],"mmm")</f>
        <v>Aug</v>
      </c>
      <c r="L776">
        <f>MONTH(tbl_RawSales[[#This Row],[Order Date]])</f>
        <v>8</v>
      </c>
      <c r="M776" t="str">
        <f>TEXT(tbl_RawSales[[#This Row],[Order Date]],"ddd")</f>
        <v>Sat</v>
      </c>
      <c r="N776">
        <f>WEEKDAY(tbl_RawSales[[#This Row],[Order Date]],2)</f>
        <v>6</v>
      </c>
    </row>
    <row r="777" spans="1:14" x14ac:dyDescent="0.25">
      <c r="A777" t="s">
        <v>827</v>
      </c>
      <c r="B777" s="20">
        <v>45459</v>
      </c>
      <c r="C777" t="s">
        <v>45</v>
      </c>
      <c r="D777" t="s">
        <v>12</v>
      </c>
      <c r="E777" t="s">
        <v>142</v>
      </c>
      <c r="F777" t="s">
        <v>23</v>
      </c>
      <c r="G777">
        <v>2</v>
      </c>
      <c r="H777" s="1">
        <v>14.99</v>
      </c>
      <c r="I777" s="1">
        <v>29.98</v>
      </c>
      <c r="J777">
        <v>5</v>
      </c>
      <c r="K777" t="str">
        <f>TEXT(tbl_RawSales[[#This Row],[Order Date]],"mmm")</f>
        <v>Jun</v>
      </c>
      <c r="L777">
        <f>MONTH(tbl_RawSales[[#This Row],[Order Date]])</f>
        <v>6</v>
      </c>
      <c r="M777" t="str">
        <f>TEXT(tbl_RawSales[[#This Row],[Order Date]],"ddd")</f>
        <v>Sun</v>
      </c>
      <c r="N777">
        <f>WEEKDAY(tbl_RawSales[[#This Row],[Order Date]],2)</f>
        <v>7</v>
      </c>
    </row>
    <row r="778" spans="1:14" x14ac:dyDescent="0.25">
      <c r="A778" t="s">
        <v>828</v>
      </c>
      <c r="B778" s="20">
        <v>46001</v>
      </c>
      <c r="C778" t="s">
        <v>45</v>
      </c>
      <c r="D778" t="s">
        <v>29</v>
      </c>
      <c r="E778" t="s">
        <v>50</v>
      </c>
      <c r="F778" t="s">
        <v>14</v>
      </c>
      <c r="G778">
        <v>2</v>
      </c>
      <c r="H778" s="1">
        <v>22.99</v>
      </c>
      <c r="I778" s="1">
        <v>45.98</v>
      </c>
      <c r="J778">
        <v>3</v>
      </c>
      <c r="K778" t="str">
        <f>TEXT(tbl_RawSales[[#This Row],[Order Date]],"mmm")</f>
        <v>Dec</v>
      </c>
      <c r="L778">
        <f>MONTH(tbl_RawSales[[#This Row],[Order Date]])</f>
        <v>12</v>
      </c>
      <c r="M778" t="str">
        <f>TEXT(tbl_RawSales[[#This Row],[Order Date]],"ddd")</f>
        <v>Wed</v>
      </c>
      <c r="N778">
        <f>WEEKDAY(tbl_RawSales[[#This Row],[Order Date]],2)</f>
        <v>3</v>
      </c>
    </row>
    <row r="779" spans="1:14" x14ac:dyDescent="0.25">
      <c r="A779" t="s">
        <v>829</v>
      </c>
      <c r="B779" s="20">
        <v>45712</v>
      </c>
      <c r="C779" t="s">
        <v>21</v>
      </c>
      <c r="D779" t="s">
        <v>12</v>
      </c>
      <c r="E779" t="s">
        <v>41</v>
      </c>
      <c r="F779" t="s">
        <v>23</v>
      </c>
      <c r="G779">
        <v>3</v>
      </c>
      <c r="H779" s="1">
        <v>12.99</v>
      </c>
      <c r="I779" s="1">
        <v>38.97</v>
      </c>
      <c r="J779">
        <v>4</v>
      </c>
      <c r="K779" t="str">
        <f>TEXT(tbl_RawSales[[#This Row],[Order Date]],"mmm")</f>
        <v>Feb</v>
      </c>
      <c r="L779">
        <f>MONTH(tbl_RawSales[[#This Row],[Order Date]])</f>
        <v>2</v>
      </c>
      <c r="M779" t="str">
        <f>TEXT(tbl_RawSales[[#This Row],[Order Date]],"ddd")</f>
        <v>Mon</v>
      </c>
      <c r="N779">
        <f>WEEKDAY(tbl_RawSales[[#This Row],[Order Date]],2)</f>
        <v>1</v>
      </c>
    </row>
    <row r="780" spans="1:14" x14ac:dyDescent="0.25">
      <c r="A780" t="s">
        <v>830</v>
      </c>
      <c r="B780" s="20">
        <v>45897</v>
      </c>
      <c r="C780" t="s">
        <v>28</v>
      </c>
      <c r="D780" t="s">
        <v>29</v>
      </c>
      <c r="E780" t="s">
        <v>57</v>
      </c>
      <c r="F780" t="s">
        <v>14</v>
      </c>
      <c r="G780">
        <v>1</v>
      </c>
      <c r="H780" s="1">
        <v>15.99</v>
      </c>
      <c r="I780" s="1">
        <v>15.99</v>
      </c>
      <c r="J780">
        <v>4</v>
      </c>
      <c r="K780" t="str">
        <f>TEXT(tbl_RawSales[[#This Row],[Order Date]],"mmm")</f>
        <v>Aug</v>
      </c>
      <c r="L780">
        <f>MONTH(tbl_RawSales[[#This Row],[Order Date]])</f>
        <v>8</v>
      </c>
      <c r="M780" t="str">
        <f>TEXT(tbl_RawSales[[#This Row],[Order Date]],"ddd")</f>
        <v>Thu</v>
      </c>
      <c r="N780">
        <f>WEEKDAY(tbl_RawSales[[#This Row],[Order Date]],2)</f>
        <v>4</v>
      </c>
    </row>
    <row r="781" spans="1:14" x14ac:dyDescent="0.25">
      <c r="A781" t="s">
        <v>831</v>
      </c>
      <c r="B781" s="20">
        <v>45386</v>
      </c>
      <c r="C781" t="s">
        <v>16</v>
      </c>
      <c r="D781" t="s">
        <v>29</v>
      </c>
      <c r="E781" t="s">
        <v>119</v>
      </c>
      <c r="F781" t="s">
        <v>19</v>
      </c>
      <c r="G781">
        <v>4</v>
      </c>
      <c r="H781" s="1">
        <v>4.99</v>
      </c>
      <c r="I781" s="1">
        <v>19.96</v>
      </c>
      <c r="J781">
        <v>3</v>
      </c>
      <c r="K781" t="str">
        <f>TEXT(tbl_RawSales[[#This Row],[Order Date]],"mmm")</f>
        <v>Apr</v>
      </c>
      <c r="L781">
        <f>MONTH(tbl_RawSales[[#This Row],[Order Date]])</f>
        <v>4</v>
      </c>
      <c r="M781" t="str">
        <f>TEXT(tbl_RawSales[[#This Row],[Order Date]],"ddd")</f>
        <v>Thu</v>
      </c>
      <c r="N781">
        <f>WEEKDAY(tbl_RawSales[[#This Row],[Order Date]],2)</f>
        <v>4</v>
      </c>
    </row>
    <row r="782" spans="1:14" x14ac:dyDescent="0.25">
      <c r="A782" t="s">
        <v>832</v>
      </c>
      <c r="B782" s="20">
        <v>45786</v>
      </c>
      <c r="C782" t="s">
        <v>21</v>
      </c>
      <c r="D782" t="s">
        <v>29</v>
      </c>
      <c r="E782" t="s">
        <v>13</v>
      </c>
      <c r="F782" t="s">
        <v>14</v>
      </c>
      <c r="G782">
        <v>2</v>
      </c>
      <c r="H782" s="1">
        <v>18.989999999999998</v>
      </c>
      <c r="I782" s="1">
        <v>37.979999999999997</v>
      </c>
      <c r="J782">
        <v>3</v>
      </c>
      <c r="K782" t="str">
        <f>TEXT(tbl_RawSales[[#This Row],[Order Date]],"mmm")</f>
        <v>May</v>
      </c>
      <c r="L782">
        <f>MONTH(tbl_RawSales[[#This Row],[Order Date]])</f>
        <v>5</v>
      </c>
      <c r="M782" t="str">
        <f>TEXT(tbl_RawSales[[#This Row],[Order Date]],"ddd")</f>
        <v>Fri</v>
      </c>
      <c r="N782">
        <f>WEEKDAY(tbl_RawSales[[#This Row],[Order Date]],2)</f>
        <v>5</v>
      </c>
    </row>
    <row r="783" spans="1:14" x14ac:dyDescent="0.25">
      <c r="A783" t="s">
        <v>833</v>
      </c>
      <c r="B783" s="20">
        <v>45593</v>
      </c>
      <c r="C783" t="s">
        <v>34</v>
      </c>
      <c r="D783" t="s">
        <v>29</v>
      </c>
      <c r="E783" t="s">
        <v>83</v>
      </c>
      <c r="F783" t="s">
        <v>14</v>
      </c>
      <c r="G783">
        <v>1</v>
      </c>
      <c r="H783" s="1">
        <v>17.989999999999998</v>
      </c>
      <c r="I783" s="1">
        <v>17.989999999999998</v>
      </c>
      <c r="J783">
        <v>3</v>
      </c>
      <c r="K783" t="str">
        <f>TEXT(tbl_RawSales[[#This Row],[Order Date]],"mmm")</f>
        <v>Oct</v>
      </c>
      <c r="L783">
        <f>MONTH(tbl_RawSales[[#This Row],[Order Date]])</f>
        <v>10</v>
      </c>
      <c r="M783" t="str">
        <f>TEXT(tbl_RawSales[[#This Row],[Order Date]],"ddd")</f>
        <v>Mon</v>
      </c>
      <c r="N783">
        <f>WEEKDAY(tbl_RawSales[[#This Row],[Order Date]],2)</f>
        <v>1</v>
      </c>
    </row>
    <row r="784" spans="1:14" x14ac:dyDescent="0.25">
      <c r="A784" t="s">
        <v>834</v>
      </c>
      <c r="B784" s="20">
        <v>45392</v>
      </c>
      <c r="C784" t="s">
        <v>28</v>
      </c>
      <c r="D784" t="s">
        <v>29</v>
      </c>
      <c r="E784" t="s">
        <v>142</v>
      </c>
      <c r="F784" t="s">
        <v>23</v>
      </c>
      <c r="G784">
        <v>2</v>
      </c>
      <c r="H784" s="1">
        <v>14.99</v>
      </c>
      <c r="I784" s="1">
        <v>29.98</v>
      </c>
      <c r="J784">
        <v>4</v>
      </c>
      <c r="K784" t="str">
        <f>TEXT(tbl_RawSales[[#This Row],[Order Date]],"mmm")</f>
        <v>Apr</v>
      </c>
      <c r="L784">
        <f>MONTH(tbl_RawSales[[#This Row],[Order Date]])</f>
        <v>4</v>
      </c>
      <c r="M784" t="str">
        <f>TEXT(tbl_RawSales[[#This Row],[Order Date]],"ddd")</f>
        <v>Wed</v>
      </c>
      <c r="N784">
        <f>WEEKDAY(tbl_RawSales[[#This Row],[Order Date]],2)</f>
        <v>3</v>
      </c>
    </row>
    <row r="785" spans="1:14" x14ac:dyDescent="0.25">
      <c r="A785" t="s">
        <v>835</v>
      </c>
      <c r="B785" s="20">
        <v>46012</v>
      </c>
      <c r="C785" t="s">
        <v>34</v>
      </c>
      <c r="D785" t="s">
        <v>29</v>
      </c>
      <c r="E785" t="s">
        <v>74</v>
      </c>
      <c r="F785" t="s">
        <v>14</v>
      </c>
      <c r="G785">
        <v>1</v>
      </c>
      <c r="H785" s="1">
        <v>14.99</v>
      </c>
      <c r="I785" s="1">
        <v>14.99</v>
      </c>
      <c r="J785">
        <v>5</v>
      </c>
      <c r="K785" t="str">
        <f>TEXT(tbl_RawSales[[#This Row],[Order Date]],"mmm")</f>
        <v>Dec</v>
      </c>
      <c r="L785">
        <f>MONTH(tbl_RawSales[[#This Row],[Order Date]])</f>
        <v>12</v>
      </c>
      <c r="M785" t="str">
        <f>TEXT(tbl_RawSales[[#This Row],[Order Date]],"ddd")</f>
        <v>Sun</v>
      </c>
      <c r="N785">
        <f>WEEKDAY(tbl_RawSales[[#This Row],[Order Date]],2)</f>
        <v>7</v>
      </c>
    </row>
    <row r="786" spans="1:14" x14ac:dyDescent="0.25">
      <c r="A786" t="s">
        <v>836</v>
      </c>
      <c r="B786" s="20">
        <v>45439</v>
      </c>
      <c r="C786" t="s">
        <v>32</v>
      </c>
      <c r="D786" t="s">
        <v>12</v>
      </c>
      <c r="E786" t="s">
        <v>74</v>
      </c>
      <c r="F786" t="s">
        <v>14</v>
      </c>
      <c r="G786">
        <v>2</v>
      </c>
      <c r="H786" s="1">
        <v>14.99</v>
      </c>
      <c r="I786" s="1">
        <v>29.98</v>
      </c>
      <c r="J786">
        <v>3</v>
      </c>
      <c r="K786" t="str">
        <f>TEXT(tbl_RawSales[[#This Row],[Order Date]],"mmm")</f>
        <v>May</v>
      </c>
      <c r="L786">
        <f>MONTH(tbl_RawSales[[#This Row],[Order Date]])</f>
        <v>5</v>
      </c>
      <c r="M786" t="str">
        <f>TEXT(tbl_RawSales[[#This Row],[Order Date]],"ddd")</f>
        <v>Mon</v>
      </c>
      <c r="N786">
        <f>WEEKDAY(tbl_RawSales[[#This Row],[Order Date]],2)</f>
        <v>1</v>
      </c>
    </row>
    <row r="787" spans="1:14" x14ac:dyDescent="0.25">
      <c r="A787" t="s">
        <v>837</v>
      </c>
      <c r="B787" s="20">
        <v>45690</v>
      </c>
      <c r="C787" t="s">
        <v>21</v>
      </c>
      <c r="D787" t="s">
        <v>29</v>
      </c>
      <c r="E787" t="s">
        <v>36</v>
      </c>
      <c r="F787" t="s">
        <v>14</v>
      </c>
      <c r="G787">
        <v>1</v>
      </c>
      <c r="H787" s="1">
        <v>16.989999999999998</v>
      </c>
      <c r="I787" s="1">
        <v>16.989999999999998</v>
      </c>
      <c r="J787">
        <v>3</v>
      </c>
      <c r="K787" t="str">
        <f>TEXT(tbl_RawSales[[#This Row],[Order Date]],"mmm")</f>
        <v>Feb</v>
      </c>
      <c r="L787">
        <f>MONTH(tbl_RawSales[[#This Row],[Order Date]])</f>
        <v>2</v>
      </c>
      <c r="M787" t="str">
        <f>TEXT(tbl_RawSales[[#This Row],[Order Date]],"ddd")</f>
        <v>Sun</v>
      </c>
      <c r="N787">
        <f>WEEKDAY(tbl_RawSales[[#This Row],[Order Date]],2)</f>
        <v>7</v>
      </c>
    </row>
    <row r="788" spans="1:14" x14ac:dyDescent="0.25">
      <c r="A788" t="s">
        <v>838</v>
      </c>
      <c r="B788" s="20">
        <v>45295</v>
      </c>
      <c r="C788" t="s">
        <v>21</v>
      </c>
      <c r="D788" t="s">
        <v>12</v>
      </c>
      <c r="E788" t="s">
        <v>69</v>
      </c>
      <c r="F788" t="s">
        <v>67</v>
      </c>
      <c r="G788">
        <v>2</v>
      </c>
      <c r="H788" s="1">
        <v>8.99</v>
      </c>
      <c r="I788" s="1">
        <v>17.98</v>
      </c>
      <c r="J788">
        <v>3</v>
      </c>
      <c r="K788" t="str">
        <f>TEXT(tbl_RawSales[[#This Row],[Order Date]],"mmm")</f>
        <v>Jan</v>
      </c>
      <c r="L788">
        <f>MONTH(tbl_RawSales[[#This Row],[Order Date]])</f>
        <v>1</v>
      </c>
      <c r="M788" t="str">
        <f>TEXT(tbl_RawSales[[#This Row],[Order Date]],"ddd")</f>
        <v>Thu</v>
      </c>
      <c r="N788">
        <f>WEEKDAY(tbl_RawSales[[#This Row],[Order Date]],2)</f>
        <v>4</v>
      </c>
    </row>
    <row r="789" spans="1:14" x14ac:dyDescent="0.25">
      <c r="A789" t="s">
        <v>839</v>
      </c>
      <c r="B789" s="20">
        <v>45450</v>
      </c>
      <c r="C789" t="s">
        <v>38</v>
      </c>
      <c r="D789" t="s">
        <v>29</v>
      </c>
      <c r="E789" t="s">
        <v>30</v>
      </c>
      <c r="F789" t="s">
        <v>19</v>
      </c>
      <c r="G789">
        <v>1</v>
      </c>
      <c r="H789" s="1">
        <v>7.99</v>
      </c>
      <c r="I789" s="1">
        <v>7.99</v>
      </c>
      <c r="J789">
        <v>3</v>
      </c>
      <c r="K789" t="str">
        <f>TEXT(tbl_RawSales[[#This Row],[Order Date]],"mmm")</f>
        <v>Jun</v>
      </c>
      <c r="L789">
        <f>MONTH(tbl_RawSales[[#This Row],[Order Date]])</f>
        <v>6</v>
      </c>
      <c r="M789" t="str">
        <f>TEXT(tbl_RawSales[[#This Row],[Order Date]],"ddd")</f>
        <v>Fri</v>
      </c>
      <c r="N789">
        <f>WEEKDAY(tbl_RawSales[[#This Row],[Order Date]],2)</f>
        <v>5</v>
      </c>
    </row>
    <row r="790" spans="1:14" x14ac:dyDescent="0.25">
      <c r="A790" t="s">
        <v>840</v>
      </c>
      <c r="B790" s="20">
        <v>45419</v>
      </c>
      <c r="C790" t="s">
        <v>11</v>
      </c>
      <c r="D790" t="s">
        <v>17</v>
      </c>
      <c r="E790" t="s">
        <v>74</v>
      </c>
      <c r="F790" t="s">
        <v>14</v>
      </c>
      <c r="G790">
        <v>1</v>
      </c>
      <c r="H790" s="1">
        <v>14.99</v>
      </c>
      <c r="I790" s="1">
        <v>14.99</v>
      </c>
      <c r="J790">
        <v>4</v>
      </c>
      <c r="K790" t="str">
        <f>TEXT(tbl_RawSales[[#This Row],[Order Date]],"mmm")</f>
        <v>May</v>
      </c>
      <c r="L790">
        <f>MONTH(tbl_RawSales[[#This Row],[Order Date]])</f>
        <v>5</v>
      </c>
      <c r="M790" t="str">
        <f>TEXT(tbl_RawSales[[#This Row],[Order Date]],"ddd")</f>
        <v>Tue</v>
      </c>
      <c r="N790">
        <f>WEEKDAY(tbl_RawSales[[#This Row],[Order Date]],2)</f>
        <v>2</v>
      </c>
    </row>
    <row r="791" spans="1:14" x14ac:dyDescent="0.25">
      <c r="A791" t="s">
        <v>841</v>
      </c>
      <c r="B791" s="20">
        <v>45689</v>
      </c>
      <c r="C791" t="s">
        <v>32</v>
      </c>
      <c r="D791" t="s">
        <v>12</v>
      </c>
      <c r="E791" t="s">
        <v>69</v>
      </c>
      <c r="F791" t="s">
        <v>67</v>
      </c>
      <c r="G791">
        <v>1</v>
      </c>
      <c r="H791" s="1">
        <v>8.99</v>
      </c>
      <c r="I791" s="1">
        <v>8.99</v>
      </c>
      <c r="J791">
        <v>1</v>
      </c>
      <c r="K791" t="str">
        <f>TEXT(tbl_RawSales[[#This Row],[Order Date]],"mmm")</f>
        <v>Feb</v>
      </c>
      <c r="L791">
        <f>MONTH(tbl_RawSales[[#This Row],[Order Date]])</f>
        <v>2</v>
      </c>
      <c r="M791" t="str">
        <f>TEXT(tbl_RawSales[[#This Row],[Order Date]],"ddd")</f>
        <v>Sat</v>
      </c>
      <c r="N791">
        <f>WEEKDAY(tbl_RawSales[[#This Row],[Order Date]],2)</f>
        <v>6</v>
      </c>
    </row>
    <row r="792" spans="1:14" x14ac:dyDescent="0.25">
      <c r="A792" t="s">
        <v>842</v>
      </c>
      <c r="B792" s="20">
        <v>45544</v>
      </c>
      <c r="C792" t="s">
        <v>11</v>
      </c>
      <c r="D792" t="s">
        <v>29</v>
      </c>
      <c r="E792" t="s">
        <v>83</v>
      </c>
      <c r="F792" t="s">
        <v>14</v>
      </c>
      <c r="G792">
        <v>3</v>
      </c>
      <c r="H792" s="1">
        <v>17.989999999999998</v>
      </c>
      <c r="I792" s="1">
        <v>53.97</v>
      </c>
      <c r="J792">
        <v>3</v>
      </c>
      <c r="K792" t="str">
        <f>TEXT(tbl_RawSales[[#This Row],[Order Date]],"mmm")</f>
        <v>Sept</v>
      </c>
      <c r="L792">
        <f>MONTH(tbl_RawSales[[#This Row],[Order Date]])</f>
        <v>9</v>
      </c>
      <c r="M792" t="str">
        <f>TEXT(tbl_RawSales[[#This Row],[Order Date]],"ddd")</f>
        <v>Mon</v>
      </c>
      <c r="N792">
        <f>WEEKDAY(tbl_RawSales[[#This Row],[Order Date]],2)</f>
        <v>1</v>
      </c>
    </row>
    <row r="793" spans="1:14" x14ac:dyDescent="0.25">
      <c r="A793" t="s">
        <v>843</v>
      </c>
      <c r="B793" s="20">
        <v>45472</v>
      </c>
      <c r="C793" t="s">
        <v>25</v>
      </c>
      <c r="D793" t="s">
        <v>17</v>
      </c>
      <c r="E793" t="s">
        <v>69</v>
      </c>
      <c r="F793" t="s">
        <v>67</v>
      </c>
      <c r="G793">
        <v>1</v>
      </c>
      <c r="H793" s="1">
        <v>8.99</v>
      </c>
      <c r="I793" s="1">
        <v>8.99</v>
      </c>
      <c r="J793">
        <v>5</v>
      </c>
      <c r="K793" t="str">
        <f>TEXT(tbl_RawSales[[#This Row],[Order Date]],"mmm")</f>
        <v>Jun</v>
      </c>
      <c r="L793">
        <f>MONTH(tbl_RawSales[[#This Row],[Order Date]])</f>
        <v>6</v>
      </c>
      <c r="M793" t="str">
        <f>TEXT(tbl_RawSales[[#This Row],[Order Date]],"ddd")</f>
        <v>Sat</v>
      </c>
      <c r="N793">
        <f>WEEKDAY(tbl_RawSales[[#This Row],[Order Date]],2)</f>
        <v>6</v>
      </c>
    </row>
    <row r="794" spans="1:14" x14ac:dyDescent="0.25">
      <c r="A794" t="s">
        <v>844</v>
      </c>
      <c r="B794" s="20">
        <v>45830</v>
      </c>
      <c r="C794" t="s">
        <v>45</v>
      </c>
      <c r="D794" t="s">
        <v>29</v>
      </c>
      <c r="E794" t="s">
        <v>43</v>
      </c>
      <c r="F794" t="s">
        <v>23</v>
      </c>
      <c r="G794">
        <v>1</v>
      </c>
      <c r="H794" s="1">
        <v>11.99</v>
      </c>
      <c r="I794" s="1">
        <v>11.99</v>
      </c>
      <c r="J794">
        <v>5</v>
      </c>
      <c r="K794" t="str">
        <f>TEXT(tbl_RawSales[[#This Row],[Order Date]],"mmm")</f>
        <v>Jun</v>
      </c>
      <c r="L794">
        <f>MONTH(tbl_RawSales[[#This Row],[Order Date]])</f>
        <v>6</v>
      </c>
      <c r="M794" t="str">
        <f>TEXT(tbl_RawSales[[#This Row],[Order Date]],"ddd")</f>
        <v>Sun</v>
      </c>
      <c r="N794">
        <f>WEEKDAY(tbl_RawSales[[#This Row],[Order Date]],2)</f>
        <v>7</v>
      </c>
    </row>
    <row r="795" spans="1:14" x14ac:dyDescent="0.25">
      <c r="A795" t="s">
        <v>845</v>
      </c>
      <c r="B795" s="20">
        <v>45831</v>
      </c>
      <c r="C795" t="s">
        <v>11</v>
      </c>
      <c r="D795" t="s">
        <v>29</v>
      </c>
      <c r="E795" t="s">
        <v>74</v>
      </c>
      <c r="F795" t="s">
        <v>14</v>
      </c>
      <c r="G795">
        <v>3</v>
      </c>
      <c r="H795" s="1">
        <v>14.99</v>
      </c>
      <c r="I795" s="1">
        <v>44.97</v>
      </c>
      <c r="J795">
        <v>5</v>
      </c>
      <c r="K795" t="str">
        <f>TEXT(tbl_RawSales[[#This Row],[Order Date]],"mmm")</f>
        <v>Jun</v>
      </c>
      <c r="L795">
        <f>MONTH(tbl_RawSales[[#This Row],[Order Date]])</f>
        <v>6</v>
      </c>
      <c r="M795" t="str">
        <f>TEXT(tbl_RawSales[[#This Row],[Order Date]],"ddd")</f>
        <v>Mon</v>
      </c>
      <c r="N795">
        <f>WEEKDAY(tbl_RawSales[[#This Row],[Order Date]],2)</f>
        <v>1</v>
      </c>
    </row>
    <row r="796" spans="1:14" x14ac:dyDescent="0.25">
      <c r="A796" t="s">
        <v>846</v>
      </c>
      <c r="B796" s="20">
        <v>45536</v>
      </c>
      <c r="C796" t="s">
        <v>25</v>
      </c>
      <c r="D796" t="s">
        <v>17</v>
      </c>
      <c r="E796" t="s">
        <v>36</v>
      </c>
      <c r="F796" t="s">
        <v>14</v>
      </c>
      <c r="G796">
        <v>1</v>
      </c>
      <c r="H796" s="1">
        <v>16.989999999999998</v>
      </c>
      <c r="I796" s="1">
        <v>16.989999999999998</v>
      </c>
      <c r="J796">
        <v>5</v>
      </c>
      <c r="K796" t="str">
        <f>TEXT(tbl_RawSales[[#This Row],[Order Date]],"mmm")</f>
        <v>Sept</v>
      </c>
      <c r="L796">
        <f>MONTH(tbl_RawSales[[#This Row],[Order Date]])</f>
        <v>9</v>
      </c>
      <c r="M796" t="str">
        <f>TEXT(tbl_RawSales[[#This Row],[Order Date]],"ddd")</f>
        <v>Sun</v>
      </c>
      <c r="N796">
        <f>WEEKDAY(tbl_RawSales[[#This Row],[Order Date]],2)</f>
        <v>7</v>
      </c>
    </row>
    <row r="797" spans="1:14" x14ac:dyDescent="0.25">
      <c r="A797" t="s">
        <v>847</v>
      </c>
      <c r="B797" s="20">
        <v>45688</v>
      </c>
      <c r="C797" t="s">
        <v>32</v>
      </c>
      <c r="D797" t="s">
        <v>29</v>
      </c>
      <c r="E797" t="s">
        <v>83</v>
      </c>
      <c r="F797" t="s">
        <v>14</v>
      </c>
      <c r="G797">
        <v>1</v>
      </c>
      <c r="H797" s="1">
        <v>17.989999999999998</v>
      </c>
      <c r="I797" s="1">
        <v>17.989999999999998</v>
      </c>
      <c r="J797">
        <v>4</v>
      </c>
      <c r="K797" t="str">
        <f>TEXT(tbl_RawSales[[#This Row],[Order Date]],"mmm")</f>
        <v>Jan</v>
      </c>
      <c r="L797">
        <f>MONTH(tbl_RawSales[[#This Row],[Order Date]])</f>
        <v>1</v>
      </c>
      <c r="M797" t="str">
        <f>TEXT(tbl_RawSales[[#This Row],[Order Date]],"ddd")</f>
        <v>Fri</v>
      </c>
      <c r="N797">
        <f>WEEKDAY(tbl_RawSales[[#This Row],[Order Date]],2)</f>
        <v>5</v>
      </c>
    </row>
    <row r="798" spans="1:14" x14ac:dyDescent="0.25">
      <c r="A798" t="s">
        <v>848</v>
      </c>
      <c r="B798" s="20">
        <v>45915</v>
      </c>
      <c r="C798" t="s">
        <v>28</v>
      </c>
      <c r="D798" t="s">
        <v>17</v>
      </c>
      <c r="E798" t="s">
        <v>55</v>
      </c>
      <c r="F798" t="s">
        <v>23</v>
      </c>
      <c r="G798">
        <v>4</v>
      </c>
      <c r="H798" s="1">
        <v>10.99</v>
      </c>
      <c r="I798" s="1">
        <v>43.96</v>
      </c>
      <c r="J798">
        <v>3</v>
      </c>
      <c r="K798" t="str">
        <f>TEXT(tbl_RawSales[[#This Row],[Order Date]],"mmm")</f>
        <v>Sept</v>
      </c>
      <c r="L798">
        <f>MONTH(tbl_RawSales[[#This Row],[Order Date]])</f>
        <v>9</v>
      </c>
      <c r="M798" t="str">
        <f>TEXT(tbl_RawSales[[#This Row],[Order Date]],"ddd")</f>
        <v>Mon</v>
      </c>
      <c r="N798">
        <f>WEEKDAY(tbl_RawSales[[#This Row],[Order Date]],2)</f>
        <v>1</v>
      </c>
    </row>
    <row r="799" spans="1:14" x14ac:dyDescent="0.25">
      <c r="A799" t="s">
        <v>849</v>
      </c>
      <c r="B799" s="20">
        <v>45925</v>
      </c>
      <c r="C799" t="s">
        <v>11</v>
      </c>
      <c r="D799" t="s">
        <v>29</v>
      </c>
      <c r="E799" t="s">
        <v>43</v>
      </c>
      <c r="F799" t="s">
        <v>23</v>
      </c>
      <c r="G799">
        <v>3</v>
      </c>
      <c r="H799" s="1">
        <v>11.99</v>
      </c>
      <c r="I799" s="1">
        <v>35.97</v>
      </c>
      <c r="J799">
        <v>4</v>
      </c>
      <c r="K799" t="str">
        <f>TEXT(tbl_RawSales[[#This Row],[Order Date]],"mmm")</f>
        <v>Sept</v>
      </c>
      <c r="L799">
        <f>MONTH(tbl_RawSales[[#This Row],[Order Date]])</f>
        <v>9</v>
      </c>
      <c r="M799" t="str">
        <f>TEXT(tbl_RawSales[[#This Row],[Order Date]],"ddd")</f>
        <v>Thu</v>
      </c>
      <c r="N799">
        <f>WEEKDAY(tbl_RawSales[[#This Row],[Order Date]],2)</f>
        <v>4</v>
      </c>
    </row>
    <row r="800" spans="1:14" x14ac:dyDescent="0.25">
      <c r="A800" t="s">
        <v>850</v>
      </c>
      <c r="B800" s="20">
        <v>45510</v>
      </c>
      <c r="C800" t="s">
        <v>38</v>
      </c>
      <c r="D800" t="s">
        <v>12</v>
      </c>
      <c r="E800" t="s">
        <v>13</v>
      </c>
      <c r="F800" t="s">
        <v>14</v>
      </c>
      <c r="G800">
        <v>1</v>
      </c>
      <c r="H800" s="1">
        <v>18.989999999999998</v>
      </c>
      <c r="I800" s="1">
        <v>18.989999999999998</v>
      </c>
      <c r="J800">
        <v>5</v>
      </c>
      <c r="K800" t="str">
        <f>TEXT(tbl_RawSales[[#This Row],[Order Date]],"mmm")</f>
        <v>Aug</v>
      </c>
      <c r="L800">
        <f>MONTH(tbl_RawSales[[#This Row],[Order Date]])</f>
        <v>8</v>
      </c>
      <c r="M800" t="str">
        <f>TEXT(tbl_RawSales[[#This Row],[Order Date]],"ddd")</f>
        <v>Tue</v>
      </c>
      <c r="N800">
        <f>WEEKDAY(tbl_RawSales[[#This Row],[Order Date]],2)</f>
        <v>2</v>
      </c>
    </row>
    <row r="801" spans="1:14" x14ac:dyDescent="0.25">
      <c r="A801" t="s">
        <v>851</v>
      </c>
      <c r="B801" s="20">
        <v>45634</v>
      </c>
      <c r="C801" t="s">
        <v>34</v>
      </c>
      <c r="D801" t="s">
        <v>29</v>
      </c>
      <c r="E801" t="s">
        <v>142</v>
      </c>
      <c r="F801" t="s">
        <v>23</v>
      </c>
      <c r="G801">
        <v>3</v>
      </c>
      <c r="H801" s="1">
        <v>14.99</v>
      </c>
      <c r="I801" s="1">
        <v>44.97</v>
      </c>
      <c r="J801">
        <v>3</v>
      </c>
      <c r="K801" t="str">
        <f>TEXT(tbl_RawSales[[#This Row],[Order Date]],"mmm")</f>
        <v>Dec</v>
      </c>
      <c r="L801">
        <f>MONTH(tbl_RawSales[[#This Row],[Order Date]])</f>
        <v>12</v>
      </c>
      <c r="M801" t="str">
        <f>TEXT(tbl_RawSales[[#This Row],[Order Date]],"ddd")</f>
        <v>Sun</v>
      </c>
      <c r="N801">
        <f>WEEKDAY(tbl_RawSales[[#This Row],[Order Date]],2)</f>
        <v>7</v>
      </c>
    </row>
    <row r="802" spans="1:14" x14ac:dyDescent="0.25">
      <c r="A802" t="s">
        <v>852</v>
      </c>
      <c r="B802" s="20">
        <v>45366</v>
      </c>
      <c r="C802" t="s">
        <v>38</v>
      </c>
      <c r="D802" t="s">
        <v>17</v>
      </c>
      <c r="E802" t="s">
        <v>79</v>
      </c>
      <c r="F802" t="s">
        <v>67</v>
      </c>
      <c r="G802">
        <v>2</v>
      </c>
      <c r="H802" s="1">
        <v>10.99</v>
      </c>
      <c r="I802" s="1">
        <v>21.98</v>
      </c>
      <c r="J802">
        <v>4</v>
      </c>
      <c r="K802" t="str">
        <f>TEXT(tbl_RawSales[[#This Row],[Order Date]],"mmm")</f>
        <v>Mar</v>
      </c>
      <c r="L802">
        <f>MONTH(tbl_RawSales[[#This Row],[Order Date]])</f>
        <v>3</v>
      </c>
      <c r="M802" t="str">
        <f>TEXT(tbl_RawSales[[#This Row],[Order Date]],"ddd")</f>
        <v>Fri</v>
      </c>
      <c r="N802">
        <f>WEEKDAY(tbl_RawSales[[#This Row],[Order Date]],2)</f>
        <v>5</v>
      </c>
    </row>
    <row r="803" spans="1:14" x14ac:dyDescent="0.25">
      <c r="A803" t="s">
        <v>853</v>
      </c>
      <c r="B803" s="20">
        <v>45941</v>
      </c>
      <c r="C803" t="s">
        <v>16</v>
      </c>
      <c r="D803" t="s">
        <v>29</v>
      </c>
      <c r="E803" t="s">
        <v>30</v>
      </c>
      <c r="F803" t="s">
        <v>19</v>
      </c>
      <c r="G803">
        <v>1</v>
      </c>
      <c r="H803" s="1">
        <v>7.99</v>
      </c>
      <c r="I803" s="1">
        <v>7.99</v>
      </c>
      <c r="J803">
        <v>3</v>
      </c>
      <c r="K803" t="str">
        <f>TEXT(tbl_RawSales[[#This Row],[Order Date]],"mmm")</f>
        <v>Oct</v>
      </c>
      <c r="L803">
        <f>MONTH(tbl_RawSales[[#This Row],[Order Date]])</f>
        <v>10</v>
      </c>
      <c r="M803" t="str">
        <f>TEXT(tbl_RawSales[[#This Row],[Order Date]],"ddd")</f>
        <v>Sat</v>
      </c>
      <c r="N803">
        <f>WEEKDAY(tbl_RawSales[[#This Row],[Order Date]],2)</f>
        <v>6</v>
      </c>
    </row>
    <row r="804" spans="1:14" x14ac:dyDescent="0.25">
      <c r="A804" t="s">
        <v>854</v>
      </c>
      <c r="B804" s="20">
        <v>45396</v>
      </c>
      <c r="C804" t="s">
        <v>16</v>
      </c>
      <c r="D804" t="s">
        <v>12</v>
      </c>
      <c r="E804" t="s">
        <v>30</v>
      </c>
      <c r="F804" t="s">
        <v>19</v>
      </c>
      <c r="G804">
        <v>3</v>
      </c>
      <c r="H804" s="1">
        <v>7.99</v>
      </c>
      <c r="I804" s="1">
        <v>23.97</v>
      </c>
      <c r="J804">
        <v>4</v>
      </c>
      <c r="K804" t="str">
        <f>TEXT(tbl_RawSales[[#This Row],[Order Date]],"mmm")</f>
        <v>Apr</v>
      </c>
      <c r="L804">
        <f>MONTH(tbl_RawSales[[#This Row],[Order Date]])</f>
        <v>4</v>
      </c>
      <c r="M804" t="str">
        <f>TEXT(tbl_RawSales[[#This Row],[Order Date]],"ddd")</f>
        <v>Sun</v>
      </c>
      <c r="N804">
        <f>WEEKDAY(tbl_RawSales[[#This Row],[Order Date]],2)</f>
        <v>7</v>
      </c>
    </row>
    <row r="805" spans="1:14" x14ac:dyDescent="0.25">
      <c r="A805" t="s">
        <v>855</v>
      </c>
      <c r="B805" s="20">
        <v>45479</v>
      </c>
      <c r="C805" t="s">
        <v>45</v>
      </c>
      <c r="D805" t="s">
        <v>29</v>
      </c>
      <c r="E805" t="s">
        <v>79</v>
      </c>
      <c r="F805" t="s">
        <v>67</v>
      </c>
      <c r="G805">
        <v>1</v>
      </c>
      <c r="H805" s="1">
        <v>10.99</v>
      </c>
      <c r="I805" s="1">
        <v>10.99</v>
      </c>
      <c r="J805">
        <v>3</v>
      </c>
      <c r="K805" t="str">
        <f>TEXT(tbl_RawSales[[#This Row],[Order Date]],"mmm")</f>
        <v>Jul</v>
      </c>
      <c r="L805">
        <f>MONTH(tbl_RawSales[[#This Row],[Order Date]])</f>
        <v>7</v>
      </c>
      <c r="M805" t="str">
        <f>TEXT(tbl_RawSales[[#This Row],[Order Date]],"ddd")</f>
        <v>Sat</v>
      </c>
      <c r="N805">
        <f>WEEKDAY(tbl_RawSales[[#This Row],[Order Date]],2)</f>
        <v>6</v>
      </c>
    </row>
    <row r="806" spans="1:14" x14ac:dyDescent="0.25">
      <c r="A806" t="s">
        <v>856</v>
      </c>
      <c r="B806" s="20">
        <v>45625</v>
      </c>
      <c r="C806" t="s">
        <v>11</v>
      </c>
      <c r="D806" t="s">
        <v>29</v>
      </c>
      <c r="E806" t="s">
        <v>66</v>
      </c>
      <c r="F806" t="s">
        <v>67</v>
      </c>
      <c r="G806">
        <v>1</v>
      </c>
      <c r="H806" s="1">
        <v>7.99</v>
      </c>
      <c r="I806" s="1">
        <v>7.99</v>
      </c>
      <c r="J806">
        <v>3</v>
      </c>
      <c r="K806" t="str">
        <f>TEXT(tbl_RawSales[[#This Row],[Order Date]],"mmm")</f>
        <v>Nov</v>
      </c>
      <c r="L806">
        <f>MONTH(tbl_RawSales[[#This Row],[Order Date]])</f>
        <v>11</v>
      </c>
      <c r="M806" t="str">
        <f>TEXT(tbl_RawSales[[#This Row],[Order Date]],"ddd")</f>
        <v>Fri</v>
      </c>
      <c r="N806">
        <f>WEEKDAY(tbl_RawSales[[#This Row],[Order Date]],2)</f>
        <v>5</v>
      </c>
    </row>
    <row r="807" spans="1:14" x14ac:dyDescent="0.25">
      <c r="A807" t="s">
        <v>857</v>
      </c>
      <c r="B807" s="20">
        <v>45556</v>
      </c>
      <c r="C807" t="s">
        <v>11</v>
      </c>
      <c r="D807" t="s">
        <v>12</v>
      </c>
      <c r="E807" t="s">
        <v>18</v>
      </c>
      <c r="F807" t="s">
        <v>19</v>
      </c>
      <c r="G807">
        <v>2</v>
      </c>
      <c r="H807" s="1">
        <v>9.99</v>
      </c>
      <c r="I807" s="1">
        <v>19.98</v>
      </c>
      <c r="J807">
        <v>2</v>
      </c>
      <c r="K807" t="str">
        <f>TEXT(tbl_RawSales[[#This Row],[Order Date]],"mmm")</f>
        <v>Sept</v>
      </c>
      <c r="L807">
        <f>MONTH(tbl_RawSales[[#This Row],[Order Date]])</f>
        <v>9</v>
      </c>
      <c r="M807" t="str">
        <f>TEXT(tbl_RawSales[[#This Row],[Order Date]],"ddd")</f>
        <v>Sat</v>
      </c>
      <c r="N807">
        <f>WEEKDAY(tbl_RawSales[[#This Row],[Order Date]],2)</f>
        <v>6</v>
      </c>
    </row>
    <row r="808" spans="1:14" x14ac:dyDescent="0.25">
      <c r="A808" t="s">
        <v>858</v>
      </c>
      <c r="B808" s="20">
        <v>45815</v>
      </c>
      <c r="C808" t="s">
        <v>21</v>
      </c>
      <c r="D808" t="s">
        <v>29</v>
      </c>
      <c r="E808" t="s">
        <v>69</v>
      </c>
      <c r="F808" t="s">
        <v>67</v>
      </c>
      <c r="G808">
        <v>4</v>
      </c>
      <c r="H808" s="1">
        <v>8.99</v>
      </c>
      <c r="I808" s="1">
        <v>35.96</v>
      </c>
      <c r="J808">
        <v>4</v>
      </c>
      <c r="K808" t="str">
        <f>TEXT(tbl_RawSales[[#This Row],[Order Date]],"mmm")</f>
        <v>Jun</v>
      </c>
      <c r="L808">
        <f>MONTH(tbl_RawSales[[#This Row],[Order Date]])</f>
        <v>6</v>
      </c>
      <c r="M808" t="str">
        <f>TEXT(tbl_RawSales[[#This Row],[Order Date]],"ddd")</f>
        <v>Sat</v>
      </c>
      <c r="N808">
        <f>WEEKDAY(tbl_RawSales[[#This Row],[Order Date]],2)</f>
        <v>6</v>
      </c>
    </row>
    <row r="809" spans="1:14" x14ac:dyDescent="0.25">
      <c r="A809" t="s">
        <v>859</v>
      </c>
      <c r="B809" s="20">
        <v>45470</v>
      </c>
      <c r="C809" t="s">
        <v>16</v>
      </c>
      <c r="D809" t="s">
        <v>17</v>
      </c>
      <c r="E809" t="s">
        <v>74</v>
      </c>
      <c r="F809" t="s">
        <v>14</v>
      </c>
      <c r="G809">
        <v>2</v>
      </c>
      <c r="H809" s="1">
        <v>14.99</v>
      </c>
      <c r="I809" s="1">
        <v>29.98</v>
      </c>
      <c r="J809">
        <v>4</v>
      </c>
      <c r="K809" t="str">
        <f>TEXT(tbl_RawSales[[#This Row],[Order Date]],"mmm")</f>
        <v>Jun</v>
      </c>
      <c r="L809">
        <f>MONTH(tbl_RawSales[[#This Row],[Order Date]])</f>
        <v>6</v>
      </c>
      <c r="M809" t="str">
        <f>TEXT(tbl_RawSales[[#This Row],[Order Date]],"ddd")</f>
        <v>Thu</v>
      </c>
      <c r="N809">
        <f>WEEKDAY(tbl_RawSales[[#This Row],[Order Date]],2)</f>
        <v>4</v>
      </c>
    </row>
    <row r="810" spans="1:14" x14ac:dyDescent="0.25">
      <c r="A810" t="s">
        <v>860</v>
      </c>
      <c r="B810" s="20">
        <v>45539</v>
      </c>
      <c r="C810" t="s">
        <v>11</v>
      </c>
      <c r="D810" t="s">
        <v>29</v>
      </c>
      <c r="E810" t="s">
        <v>46</v>
      </c>
      <c r="F810" t="s">
        <v>14</v>
      </c>
      <c r="G810">
        <v>1</v>
      </c>
      <c r="H810" s="1">
        <v>32.99</v>
      </c>
      <c r="I810" s="1">
        <v>32.99</v>
      </c>
      <c r="J810">
        <v>5</v>
      </c>
      <c r="K810" t="str">
        <f>TEXT(tbl_RawSales[[#This Row],[Order Date]],"mmm")</f>
        <v>Sept</v>
      </c>
      <c r="L810">
        <f>MONTH(tbl_RawSales[[#This Row],[Order Date]])</f>
        <v>9</v>
      </c>
      <c r="M810" t="str">
        <f>TEXT(tbl_RawSales[[#This Row],[Order Date]],"ddd")</f>
        <v>Wed</v>
      </c>
      <c r="N810">
        <f>WEEKDAY(tbl_RawSales[[#This Row],[Order Date]],2)</f>
        <v>3</v>
      </c>
    </row>
    <row r="811" spans="1:14" x14ac:dyDescent="0.25">
      <c r="A811" t="s">
        <v>861</v>
      </c>
      <c r="B811" s="20">
        <v>46017</v>
      </c>
      <c r="C811" t="s">
        <v>38</v>
      </c>
      <c r="D811" t="s">
        <v>12</v>
      </c>
      <c r="E811" t="s">
        <v>62</v>
      </c>
      <c r="F811" t="s">
        <v>23</v>
      </c>
      <c r="G811">
        <v>2</v>
      </c>
      <c r="H811" s="1">
        <v>9.99</v>
      </c>
      <c r="I811" s="1">
        <v>19.98</v>
      </c>
      <c r="J811">
        <v>5</v>
      </c>
      <c r="K811" t="str">
        <f>TEXT(tbl_RawSales[[#This Row],[Order Date]],"mmm")</f>
        <v>Dec</v>
      </c>
      <c r="L811">
        <f>MONTH(tbl_RawSales[[#This Row],[Order Date]])</f>
        <v>12</v>
      </c>
      <c r="M811" t="str">
        <f>TEXT(tbl_RawSales[[#This Row],[Order Date]],"ddd")</f>
        <v>Fri</v>
      </c>
      <c r="N811">
        <f>WEEKDAY(tbl_RawSales[[#This Row],[Order Date]],2)</f>
        <v>5</v>
      </c>
    </row>
    <row r="812" spans="1:14" x14ac:dyDescent="0.25">
      <c r="A812" t="s">
        <v>862</v>
      </c>
      <c r="B812" s="20">
        <v>45874</v>
      </c>
      <c r="C812" t="s">
        <v>16</v>
      </c>
      <c r="D812" t="s">
        <v>17</v>
      </c>
      <c r="E812" t="s">
        <v>36</v>
      </c>
      <c r="F812" t="s">
        <v>14</v>
      </c>
      <c r="G812">
        <v>3</v>
      </c>
      <c r="H812" s="1">
        <v>16.989999999999998</v>
      </c>
      <c r="I812" s="1">
        <v>50.97</v>
      </c>
      <c r="J812">
        <v>5</v>
      </c>
      <c r="K812" t="str">
        <f>TEXT(tbl_RawSales[[#This Row],[Order Date]],"mmm")</f>
        <v>Aug</v>
      </c>
      <c r="L812">
        <f>MONTH(tbl_RawSales[[#This Row],[Order Date]])</f>
        <v>8</v>
      </c>
      <c r="M812" t="str">
        <f>TEXT(tbl_RawSales[[#This Row],[Order Date]],"ddd")</f>
        <v>Tue</v>
      </c>
      <c r="N812">
        <f>WEEKDAY(tbl_RawSales[[#This Row],[Order Date]],2)</f>
        <v>2</v>
      </c>
    </row>
    <row r="813" spans="1:14" x14ac:dyDescent="0.25">
      <c r="A813" t="s">
        <v>863</v>
      </c>
      <c r="B813" s="20">
        <v>45606</v>
      </c>
      <c r="C813" t="s">
        <v>97</v>
      </c>
      <c r="D813" t="s">
        <v>12</v>
      </c>
      <c r="E813" t="s">
        <v>41</v>
      </c>
      <c r="F813" t="s">
        <v>23</v>
      </c>
      <c r="G813">
        <v>3</v>
      </c>
      <c r="H813" s="1">
        <v>12.99</v>
      </c>
      <c r="I813" s="1">
        <v>38.97</v>
      </c>
      <c r="J813">
        <v>5</v>
      </c>
      <c r="K813" t="str">
        <f>TEXT(tbl_RawSales[[#This Row],[Order Date]],"mmm")</f>
        <v>Nov</v>
      </c>
      <c r="L813">
        <f>MONTH(tbl_RawSales[[#This Row],[Order Date]])</f>
        <v>11</v>
      </c>
      <c r="M813" t="str">
        <f>TEXT(tbl_RawSales[[#This Row],[Order Date]],"ddd")</f>
        <v>Sun</v>
      </c>
      <c r="N813">
        <f>WEEKDAY(tbl_RawSales[[#This Row],[Order Date]],2)</f>
        <v>7</v>
      </c>
    </row>
    <row r="814" spans="1:14" x14ac:dyDescent="0.25">
      <c r="A814" t="s">
        <v>864</v>
      </c>
      <c r="B814" s="20">
        <v>45949</v>
      </c>
      <c r="C814" t="s">
        <v>38</v>
      </c>
      <c r="D814" t="s">
        <v>12</v>
      </c>
      <c r="E814" t="s">
        <v>26</v>
      </c>
      <c r="F814" t="s">
        <v>19</v>
      </c>
      <c r="G814">
        <v>1</v>
      </c>
      <c r="H814" s="1">
        <v>3.49</v>
      </c>
      <c r="I814" s="1">
        <v>3.49</v>
      </c>
      <c r="J814">
        <v>3</v>
      </c>
      <c r="K814" t="str">
        <f>TEXT(tbl_RawSales[[#This Row],[Order Date]],"mmm")</f>
        <v>Oct</v>
      </c>
      <c r="L814">
        <f>MONTH(tbl_RawSales[[#This Row],[Order Date]])</f>
        <v>10</v>
      </c>
      <c r="M814" t="str">
        <f>TEXT(tbl_RawSales[[#This Row],[Order Date]],"ddd")</f>
        <v>Sun</v>
      </c>
      <c r="N814">
        <f>WEEKDAY(tbl_RawSales[[#This Row],[Order Date]],2)</f>
        <v>7</v>
      </c>
    </row>
    <row r="815" spans="1:14" x14ac:dyDescent="0.25">
      <c r="A815" t="s">
        <v>865</v>
      </c>
      <c r="B815" s="20">
        <v>45471</v>
      </c>
      <c r="C815" t="s">
        <v>21</v>
      </c>
      <c r="D815" t="s">
        <v>12</v>
      </c>
      <c r="E815" t="s">
        <v>36</v>
      </c>
      <c r="F815" t="s">
        <v>14</v>
      </c>
      <c r="G815">
        <v>2</v>
      </c>
      <c r="H815" s="1">
        <v>16.989999999999998</v>
      </c>
      <c r="I815" s="1">
        <v>33.979999999999997</v>
      </c>
      <c r="J815">
        <v>4</v>
      </c>
      <c r="K815" t="str">
        <f>TEXT(tbl_RawSales[[#This Row],[Order Date]],"mmm")</f>
        <v>Jun</v>
      </c>
      <c r="L815">
        <f>MONTH(tbl_RawSales[[#This Row],[Order Date]])</f>
        <v>6</v>
      </c>
      <c r="M815" t="str">
        <f>TEXT(tbl_RawSales[[#This Row],[Order Date]],"ddd")</f>
        <v>Fri</v>
      </c>
      <c r="N815">
        <f>WEEKDAY(tbl_RawSales[[#This Row],[Order Date]],2)</f>
        <v>5</v>
      </c>
    </row>
    <row r="816" spans="1:14" x14ac:dyDescent="0.25">
      <c r="A816" t="s">
        <v>866</v>
      </c>
      <c r="B816" s="20">
        <v>45965</v>
      </c>
      <c r="C816" t="s">
        <v>16</v>
      </c>
      <c r="D816" t="s">
        <v>29</v>
      </c>
      <c r="E816" t="s">
        <v>74</v>
      </c>
      <c r="F816" t="s">
        <v>14</v>
      </c>
      <c r="G816">
        <v>1</v>
      </c>
      <c r="H816" s="1">
        <v>14.99</v>
      </c>
      <c r="I816" s="1">
        <v>14.99</v>
      </c>
      <c r="J816">
        <v>5</v>
      </c>
      <c r="K816" t="str">
        <f>TEXT(tbl_RawSales[[#This Row],[Order Date]],"mmm")</f>
        <v>Nov</v>
      </c>
      <c r="L816">
        <f>MONTH(tbl_RawSales[[#This Row],[Order Date]])</f>
        <v>11</v>
      </c>
      <c r="M816" t="str">
        <f>TEXT(tbl_RawSales[[#This Row],[Order Date]],"ddd")</f>
        <v>Tue</v>
      </c>
      <c r="N816">
        <f>WEEKDAY(tbl_RawSales[[#This Row],[Order Date]],2)</f>
        <v>2</v>
      </c>
    </row>
    <row r="817" spans="1:14" x14ac:dyDescent="0.25">
      <c r="A817" t="s">
        <v>867</v>
      </c>
      <c r="B817" s="20">
        <v>45954</v>
      </c>
      <c r="C817" t="s">
        <v>32</v>
      </c>
      <c r="D817" t="s">
        <v>29</v>
      </c>
      <c r="E817" t="s">
        <v>57</v>
      </c>
      <c r="F817" t="s">
        <v>14</v>
      </c>
      <c r="G817">
        <v>2</v>
      </c>
      <c r="H817" s="1">
        <v>15.99</v>
      </c>
      <c r="I817" s="1">
        <v>31.98</v>
      </c>
      <c r="J817">
        <v>5</v>
      </c>
      <c r="K817" t="str">
        <f>TEXT(tbl_RawSales[[#This Row],[Order Date]],"mmm")</f>
        <v>Oct</v>
      </c>
      <c r="L817">
        <f>MONTH(tbl_RawSales[[#This Row],[Order Date]])</f>
        <v>10</v>
      </c>
      <c r="M817" t="str">
        <f>TEXT(tbl_RawSales[[#This Row],[Order Date]],"ddd")</f>
        <v>Fri</v>
      </c>
      <c r="N817">
        <f>WEEKDAY(tbl_RawSales[[#This Row],[Order Date]],2)</f>
        <v>5</v>
      </c>
    </row>
    <row r="818" spans="1:14" x14ac:dyDescent="0.25">
      <c r="A818" t="s">
        <v>868</v>
      </c>
      <c r="B818" s="20">
        <v>45400</v>
      </c>
      <c r="C818" t="s">
        <v>34</v>
      </c>
      <c r="D818" t="s">
        <v>12</v>
      </c>
      <c r="E818" t="s">
        <v>39</v>
      </c>
      <c r="F818" t="s">
        <v>14</v>
      </c>
      <c r="G818">
        <v>1</v>
      </c>
      <c r="H818" s="1">
        <v>24.99</v>
      </c>
      <c r="I818" s="1">
        <v>24.99</v>
      </c>
      <c r="J818">
        <v>4</v>
      </c>
      <c r="K818" t="str">
        <f>TEXT(tbl_RawSales[[#This Row],[Order Date]],"mmm")</f>
        <v>Apr</v>
      </c>
      <c r="L818">
        <f>MONTH(tbl_RawSales[[#This Row],[Order Date]])</f>
        <v>4</v>
      </c>
      <c r="M818" t="str">
        <f>TEXT(tbl_RawSales[[#This Row],[Order Date]],"ddd")</f>
        <v>Thu</v>
      </c>
      <c r="N818">
        <f>WEEKDAY(tbl_RawSales[[#This Row],[Order Date]],2)</f>
        <v>4</v>
      </c>
    </row>
    <row r="819" spans="1:14" x14ac:dyDescent="0.25">
      <c r="A819" t="s">
        <v>869</v>
      </c>
      <c r="B819" s="20">
        <v>45906</v>
      </c>
      <c r="C819" t="s">
        <v>28</v>
      </c>
      <c r="D819" t="s">
        <v>29</v>
      </c>
      <c r="E819" t="s">
        <v>83</v>
      </c>
      <c r="F819" t="s">
        <v>14</v>
      </c>
      <c r="G819">
        <v>2</v>
      </c>
      <c r="H819" s="1">
        <v>17.989999999999998</v>
      </c>
      <c r="I819" s="1">
        <v>35.979999999999997</v>
      </c>
      <c r="J819">
        <v>4</v>
      </c>
      <c r="K819" t="str">
        <f>TEXT(tbl_RawSales[[#This Row],[Order Date]],"mmm")</f>
        <v>Sept</v>
      </c>
      <c r="L819">
        <f>MONTH(tbl_RawSales[[#This Row],[Order Date]])</f>
        <v>9</v>
      </c>
      <c r="M819" t="str">
        <f>TEXT(tbl_RawSales[[#This Row],[Order Date]],"ddd")</f>
        <v>Sat</v>
      </c>
      <c r="N819">
        <f>WEEKDAY(tbl_RawSales[[#This Row],[Order Date]],2)</f>
        <v>6</v>
      </c>
    </row>
    <row r="820" spans="1:14" x14ac:dyDescent="0.25">
      <c r="A820" t="s">
        <v>870</v>
      </c>
      <c r="B820" s="20">
        <v>45744</v>
      </c>
      <c r="C820" t="s">
        <v>16</v>
      </c>
      <c r="D820" t="s">
        <v>17</v>
      </c>
      <c r="E820" t="s">
        <v>30</v>
      </c>
      <c r="F820" t="s">
        <v>19</v>
      </c>
      <c r="G820">
        <v>2</v>
      </c>
      <c r="H820" s="1">
        <v>7.99</v>
      </c>
      <c r="I820" s="1">
        <v>15.98</v>
      </c>
      <c r="J820">
        <v>4</v>
      </c>
      <c r="K820" t="str">
        <f>TEXT(tbl_RawSales[[#This Row],[Order Date]],"mmm")</f>
        <v>Mar</v>
      </c>
      <c r="L820">
        <f>MONTH(tbl_RawSales[[#This Row],[Order Date]])</f>
        <v>3</v>
      </c>
      <c r="M820" t="str">
        <f>TEXT(tbl_RawSales[[#This Row],[Order Date]],"ddd")</f>
        <v>Fri</v>
      </c>
      <c r="N820">
        <f>WEEKDAY(tbl_RawSales[[#This Row],[Order Date]],2)</f>
        <v>5</v>
      </c>
    </row>
    <row r="821" spans="1:14" x14ac:dyDescent="0.25">
      <c r="A821" t="s">
        <v>871</v>
      </c>
      <c r="B821" s="20">
        <v>45591</v>
      </c>
      <c r="C821" t="s">
        <v>28</v>
      </c>
      <c r="D821" t="s">
        <v>12</v>
      </c>
      <c r="E821" t="s">
        <v>36</v>
      </c>
      <c r="F821" t="s">
        <v>14</v>
      </c>
      <c r="G821">
        <v>3</v>
      </c>
      <c r="H821" s="1">
        <v>16.989999999999998</v>
      </c>
      <c r="I821" s="1">
        <v>50.97</v>
      </c>
      <c r="J821">
        <v>5</v>
      </c>
      <c r="K821" t="str">
        <f>TEXT(tbl_RawSales[[#This Row],[Order Date]],"mmm")</f>
        <v>Oct</v>
      </c>
      <c r="L821">
        <f>MONTH(tbl_RawSales[[#This Row],[Order Date]])</f>
        <v>10</v>
      </c>
      <c r="M821" t="str">
        <f>TEXT(tbl_RawSales[[#This Row],[Order Date]],"ddd")</f>
        <v>Sat</v>
      </c>
      <c r="N821">
        <f>WEEKDAY(tbl_RawSales[[#This Row],[Order Date]],2)</f>
        <v>6</v>
      </c>
    </row>
    <row r="822" spans="1:14" x14ac:dyDescent="0.25">
      <c r="A822" t="s">
        <v>872</v>
      </c>
      <c r="B822" s="20">
        <v>45753</v>
      </c>
      <c r="C822" t="s">
        <v>28</v>
      </c>
      <c r="D822" t="s">
        <v>12</v>
      </c>
      <c r="E822" t="s">
        <v>83</v>
      </c>
      <c r="F822" t="s">
        <v>14</v>
      </c>
      <c r="G822">
        <v>1</v>
      </c>
      <c r="H822" s="1">
        <v>17.989999999999998</v>
      </c>
      <c r="I822" s="1">
        <v>17.989999999999998</v>
      </c>
      <c r="J822">
        <v>3</v>
      </c>
      <c r="K822" t="str">
        <f>TEXT(tbl_RawSales[[#This Row],[Order Date]],"mmm")</f>
        <v>Apr</v>
      </c>
      <c r="L822">
        <f>MONTH(tbl_RawSales[[#This Row],[Order Date]])</f>
        <v>4</v>
      </c>
      <c r="M822" t="str">
        <f>TEXT(tbl_RawSales[[#This Row],[Order Date]],"ddd")</f>
        <v>Sun</v>
      </c>
      <c r="N822">
        <f>WEEKDAY(tbl_RawSales[[#This Row],[Order Date]],2)</f>
        <v>7</v>
      </c>
    </row>
    <row r="823" spans="1:14" x14ac:dyDescent="0.25">
      <c r="A823" t="s">
        <v>873</v>
      </c>
      <c r="B823" s="20">
        <v>45643</v>
      </c>
      <c r="C823" t="s">
        <v>45</v>
      </c>
      <c r="D823" t="s">
        <v>12</v>
      </c>
      <c r="E823" t="s">
        <v>83</v>
      </c>
      <c r="F823" t="s">
        <v>14</v>
      </c>
      <c r="G823">
        <v>1</v>
      </c>
      <c r="H823" s="1">
        <v>17.989999999999998</v>
      </c>
      <c r="I823" s="1">
        <v>17.989999999999998</v>
      </c>
      <c r="J823">
        <v>4</v>
      </c>
      <c r="K823" t="str">
        <f>TEXT(tbl_RawSales[[#This Row],[Order Date]],"mmm")</f>
        <v>Dec</v>
      </c>
      <c r="L823">
        <f>MONTH(tbl_RawSales[[#This Row],[Order Date]])</f>
        <v>12</v>
      </c>
      <c r="M823" t="str">
        <f>TEXT(tbl_RawSales[[#This Row],[Order Date]],"ddd")</f>
        <v>Tue</v>
      </c>
      <c r="N823">
        <f>WEEKDAY(tbl_RawSales[[#This Row],[Order Date]],2)</f>
        <v>2</v>
      </c>
    </row>
    <row r="824" spans="1:14" x14ac:dyDescent="0.25">
      <c r="A824" t="s">
        <v>874</v>
      </c>
      <c r="B824" s="20">
        <v>45688</v>
      </c>
      <c r="C824" t="s">
        <v>28</v>
      </c>
      <c r="D824" t="s">
        <v>29</v>
      </c>
      <c r="E824" t="s">
        <v>39</v>
      </c>
      <c r="F824" t="s">
        <v>14</v>
      </c>
      <c r="G824">
        <v>2</v>
      </c>
      <c r="H824" s="1">
        <v>24.99</v>
      </c>
      <c r="I824" s="1">
        <v>49.98</v>
      </c>
      <c r="J824">
        <v>5</v>
      </c>
      <c r="K824" t="str">
        <f>TEXT(tbl_RawSales[[#This Row],[Order Date]],"mmm")</f>
        <v>Jan</v>
      </c>
      <c r="L824">
        <f>MONTH(tbl_RawSales[[#This Row],[Order Date]])</f>
        <v>1</v>
      </c>
      <c r="M824" t="str">
        <f>TEXT(tbl_RawSales[[#This Row],[Order Date]],"ddd")</f>
        <v>Fri</v>
      </c>
      <c r="N824">
        <f>WEEKDAY(tbl_RawSales[[#This Row],[Order Date]],2)</f>
        <v>5</v>
      </c>
    </row>
    <row r="825" spans="1:14" x14ac:dyDescent="0.25">
      <c r="A825" t="s">
        <v>875</v>
      </c>
      <c r="B825" s="20">
        <v>45676</v>
      </c>
      <c r="C825" t="s">
        <v>16</v>
      </c>
      <c r="D825" t="s">
        <v>29</v>
      </c>
      <c r="E825" t="s">
        <v>119</v>
      </c>
      <c r="F825" t="s">
        <v>19</v>
      </c>
      <c r="G825">
        <v>2</v>
      </c>
      <c r="H825" s="1">
        <v>4.99</v>
      </c>
      <c r="I825" s="1">
        <v>9.98</v>
      </c>
      <c r="J825">
        <v>3</v>
      </c>
      <c r="K825" t="str">
        <f>TEXT(tbl_RawSales[[#This Row],[Order Date]],"mmm")</f>
        <v>Jan</v>
      </c>
      <c r="L825">
        <f>MONTH(tbl_RawSales[[#This Row],[Order Date]])</f>
        <v>1</v>
      </c>
      <c r="M825" t="str">
        <f>TEXT(tbl_RawSales[[#This Row],[Order Date]],"ddd")</f>
        <v>Sun</v>
      </c>
      <c r="N825">
        <f>WEEKDAY(tbl_RawSales[[#This Row],[Order Date]],2)</f>
        <v>7</v>
      </c>
    </row>
    <row r="826" spans="1:14" x14ac:dyDescent="0.25">
      <c r="A826" t="s">
        <v>876</v>
      </c>
      <c r="B826" s="20">
        <v>45325</v>
      </c>
      <c r="C826" t="s">
        <v>32</v>
      </c>
      <c r="D826" t="s">
        <v>17</v>
      </c>
      <c r="E826" t="s">
        <v>50</v>
      </c>
      <c r="F826" t="s">
        <v>14</v>
      </c>
      <c r="G826">
        <v>2</v>
      </c>
      <c r="H826" s="1">
        <v>22.99</v>
      </c>
      <c r="I826" s="1">
        <v>45.98</v>
      </c>
      <c r="J826">
        <v>4</v>
      </c>
      <c r="K826" t="str">
        <f>TEXT(tbl_RawSales[[#This Row],[Order Date]],"mmm")</f>
        <v>Feb</v>
      </c>
      <c r="L826">
        <f>MONTH(tbl_RawSales[[#This Row],[Order Date]])</f>
        <v>2</v>
      </c>
      <c r="M826" t="str">
        <f>TEXT(tbl_RawSales[[#This Row],[Order Date]],"ddd")</f>
        <v>Sat</v>
      </c>
      <c r="N826">
        <f>WEEKDAY(tbl_RawSales[[#This Row],[Order Date]],2)</f>
        <v>6</v>
      </c>
    </row>
    <row r="827" spans="1:14" x14ac:dyDescent="0.25">
      <c r="A827" t="s">
        <v>877</v>
      </c>
      <c r="B827" s="20">
        <v>45607</v>
      </c>
      <c r="C827" t="s">
        <v>16</v>
      </c>
      <c r="D827" t="s">
        <v>29</v>
      </c>
      <c r="E827" t="s">
        <v>13</v>
      </c>
      <c r="F827" t="s">
        <v>14</v>
      </c>
      <c r="G827">
        <v>2</v>
      </c>
      <c r="H827" s="1">
        <v>18.989999999999998</v>
      </c>
      <c r="I827" s="1">
        <v>37.979999999999997</v>
      </c>
      <c r="J827">
        <v>4</v>
      </c>
      <c r="K827" t="str">
        <f>TEXT(tbl_RawSales[[#This Row],[Order Date]],"mmm")</f>
        <v>Nov</v>
      </c>
      <c r="L827">
        <f>MONTH(tbl_RawSales[[#This Row],[Order Date]])</f>
        <v>11</v>
      </c>
      <c r="M827" t="str">
        <f>TEXT(tbl_RawSales[[#This Row],[Order Date]],"ddd")</f>
        <v>Mon</v>
      </c>
      <c r="N827">
        <f>WEEKDAY(tbl_RawSales[[#This Row],[Order Date]],2)</f>
        <v>1</v>
      </c>
    </row>
    <row r="828" spans="1:14" x14ac:dyDescent="0.25">
      <c r="A828" t="s">
        <v>878</v>
      </c>
      <c r="B828" s="20">
        <v>45328</v>
      </c>
      <c r="C828" t="s">
        <v>38</v>
      </c>
      <c r="D828" t="s">
        <v>12</v>
      </c>
      <c r="E828" t="s">
        <v>43</v>
      </c>
      <c r="F828" t="s">
        <v>23</v>
      </c>
      <c r="G828">
        <v>3</v>
      </c>
      <c r="H828" s="1">
        <v>11.99</v>
      </c>
      <c r="I828" s="1">
        <v>35.97</v>
      </c>
      <c r="J828">
        <v>4</v>
      </c>
      <c r="K828" t="str">
        <f>TEXT(tbl_RawSales[[#This Row],[Order Date]],"mmm")</f>
        <v>Feb</v>
      </c>
      <c r="L828">
        <f>MONTH(tbl_RawSales[[#This Row],[Order Date]])</f>
        <v>2</v>
      </c>
      <c r="M828" t="str">
        <f>TEXT(tbl_RawSales[[#This Row],[Order Date]],"ddd")</f>
        <v>Tue</v>
      </c>
      <c r="N828">
        <f>WEEKDAY(tbl_RawSales[[#This Row],[Order Date]],2)</f>
        <v>2</v>
      </c>
    </row>
    <row r="829" spans="1:14" x14ac:dyDescent="0.25">
      <c r="A829" t="s">
        <v>879</v>
      </c>
      <c r="B829" s="20">
        <v>45375</v>
      </c>
      <c r="C829" t="s">
        <v>34</v>
      </c>
      <c r="D829" t="s">
        <v>12</v>
      </c>
      <c r="E829" t="s">
        <v>26</v>
      </c>
      <c r="F829" t="s">
        <v>19</v>
      </c>
      <c r="G829">
        <v>1</v>
      </c>
      <c r="H829" s="1">
        <v>3.49</v>
      </c>
      <c r="I829" s="1">
        <v>3.49</v>
      </c>
      <c r="J829">
        <v>5</v>
      </c>
      <c r="K829" t="str">
        <f>TEXT(tbl_RawSales[[#This Row],[Order Date]],"mmm")</f>
        <v>Mar</v>
      </c>
      <c r="L829">
        <f>MONTH(tbl_RawSales[[#This Row],[Order Date]])</f>
        <v>3</v>
      </c>
      <c r="M829" t="str">
        <f>TEXT(tbl_RawSales[[#This Row],[Order Date]],"ddd")</f>
        <v>Sun</v>
      </c>
      <c r="N829">
        <f>WEEKDAY(tbl_RawSales[[#This Row],[Order Date]],2)</f>
        <v>7</v>
      </c>
    </row>
    <row r="830" spans="1:14" x14ac:dyDescent="0.25">
      <c r="A830" t="s">
        <v>880</v>
      </c>
      <c r="B830" s="20">
        <v>45541</v>
      </c>
      <c r="C830" t="s">
        <v>97</v>
      </c>
      <c r="D830" t="s">
        <v>29</v>
      </c>
      <c r="E830" t="s">
        <v>69</v>
      </c>
      <c r="F830" t="s">
        <v>67</v>
      </c>
      <c r="G830">
        <v>1</v>
      </c>
      <c r="H830" s="1">
        <v>8.99</v>
      </c>
      <c r="I830" s="1">
        <v>8.99</v>
      </c>
      <c r="J830">
        <v>4</v>
      </c>
      <c r="K830" t="str">
        <f>TEXT(tbl_RawSales[[#This Row],[Order Date]],"mmm")</f>
        <v>Sept</v>
      </c>
      <c r="L830">
        <f>MONTH(tbl_RawSales[[#This Row],[Order Date]])</f>
        <v>9</v>
      </c>
      <c r="M830" t="str">
        <f>TEXT(tbl_RawSales[[#This Row],[Order Date]],"ddd")</f>
        <v>Fri</v>
      </c>
      <c r="N830">
        <f>WEEKDAY(tbl_RawSales[[#This Row],[Order Date]],2)</f>
        <v>5</v>
      </c>
    </row>
    <row r="831" spans="1:14" x14ac:dyDescent="0.25">
      <c r="A831" t="s">
        <v>881</v>
      </c>
      <c r="B831" s="20">
        <v>45608</v>
      </c>
      <c r="C831" t="s">
        <v>34</v>
      </c>
      <c r="D831" t="s">
        <v>29</v>
      </c>
      <c r="E831" t="s">
        <v>62</v>
      </c>
      <c r="F831" t="s">
        <v>23</v>
      </c>
      <c r="G831">
        <v>2</v>
      </c>
      <c r="H831" s="1">
        <v>9.99</v>
      </c>
      <c r="I831" s="1">
        <v>19.98</v>
      </c>
      <c r="J831">
        <v>5</v>
      </c>
      <c r="K831" t="str">
        <f>TEXT(tbl_RawSales[[#This Row],[Order Date]],"mmm")</f>
        <v>Nov</v>
      </c>
      <c r="L831">
        <f>MONTH(tbl_RawSales[[#This Row],[Order Date]])</f>
        <v>11</v>
      </c>
      <c r="M831" t="str">
        <f>TEXT(tbl_RawSales[[#This Row],[Order Date]],"ddd")</f>
        <v>Tue</v>
      </c>
      <c r="N831">
        <f>WEEKDAY(tbl_RawSales[[#This Row],[Order Date]],2)</f>
        <v>2</v>
      </c>
    </row>
    <row r="832" spans="1:14" x14ac:dyDescent="0.25">
      <c r="A832" t="s">
        <v>882</v>
      </c>
      <c r="B832" s="20">
        <v>45809</v>
      </c>
      <c r="C832" t="s">
        <v>32</v>
      </c>
      <c r="D832" t="s">
        <v>12</v>
      </c>
      <c r="E832" t="s">
        <v>50</v>
      </c>
      <c r="F832" t="s">
        <v>14</v>
      </c>
      <c r="G832">
        <v>2</v>
      </c>
      <c r="H832" s="1">
        <v>22.99</v>
      </c>
      <c r="I832" s="1">
        <v>45.98</v>
      </c>
      <c r="J832">
        <v>3</v>
      </c>
      <c r="K832" t="str">
        <f>TEXT(tbl_RawSales[[#This Row],[Order Date]],"mmm")</f>
        <v>Jun</v>
      </c>
      <c r="L832">
        <f>MONTH(tbl_RawSales[[#This Row],[Order Date]])</f>
        <v>6</v>
      </c>
      <c r="M832" t="str">
        <f>TEXT(tbl_RawSales[[#This Row],[Order Date]],"ddd")</f>
        <v>Sun</v>
      </c>
      <c r="N832">
        <f>WEEKDAY(tbl_RawSales[[#This Row],[Order Date]],2)</f>
        <v>7</v>
      </c>
    </row>
    <row r="833" spans="1:14" x14ac:dyDescent="0.25">
      <c r="A833" t="s">
        <v>883</v>
      </c>
      <c r="B833" s="20">
        <v>45366</v>
      </c>
      <c r="C833" t="s">
        <v>38</v>
      </c>
      <c r="D833" t="s">
        <v>12</v>
      </c>
      <c r="E833" t="s">
        <v>22</v>
      </c>
      <c r="F833" t="s">
        <v>23</v>
      </c>
      <c r="G833">
        <v>2</v>
      </c>
      <c r="H833" s="1">
        <v>8.99</v>
      </c>
      <c r="I833" s="1">
        <v>17.98</v>
      </c>
      <c r="J833">
        <v>4</v>
      </c>
      <c r="K833" t="str">
        <f>TEXT(tbl_RawSales[[#This Row],[Order Date]],"mmm")</f>
        <v>Mar</v>
      </c>
      <c r="L833">
        <f>MONTH(tbl_RawSales[[#This Row],[Order Date]])</f>
        <v>3</v>
      </c>
      <c r="M833" t="str">
        <f>TEXT(tbl_RawSales[[#This Row],[Order Date]],"ddd")</f>
        <v>Fri</v>
      </c>
      <c r="N833">
        <f>WEEKDAY(tbl_RawSales[[#This Row],[Order Date]],2)</f>
        <v>5</v>
      </c>
    </row>
    <row r="834" spans="1:14" x14ac:dyDescent="0.25">
      <c r="A834" t="s">
        <v>884</v>
      </c>
      <c r="B834" s="20">
        <v>45985</v>
      </c>
      <c r="C834" t="s">
        <v>28</v>
      </c>
      <c r="D834" t="s">
        <v>12</v>
      </c>
      <c r="E834" t="s">
        <v>55</v>
      </c>
      <c r="F834" t="s">
        <v>23</v>
      </c>
      <c r="G834">
        <v>2</v>
      </c>
      <c r="H834" s="1">
        <v>10.99</v>
      </c>
      <c r="I834" s="1">
        <v>21.98</v>
      </c>
      <c r="J834">
        <v>3</v>
      </c>
      <c r="K834" t="str">
        <f>TEXT(tbl_RawSales[[#This Row],[Order Date]],"mmm")</f>
        <v>Nov</v>
      </c>
      <c r="L834">
        <f>MONTH(tbl_RawSales[[#This Row],[Order Date]])</f>
        <v>11</v>
      </c>
      <c r="M834" t="str">
        <f>TEXT(tbl_RawSales[[#This Row],[Order Date]],"ddd")</f>
        <v>Mon</v>
      </c>
      <c r="N834">
        <f>WEEKDAY(tbl_RawSales[[#This Row],[Order Date]],2)</f>
        <v>1</v>
      </c>
    </row>
    <row r="835" spans="1:14" x14ac:dyDescent="0.25">
      <c r="A835" t="s">
        <v>885</v>
      </c>
      <c r="B835" s="20">
        <v>45923</v>
      </c>
      <c r="C835" t="s">
        <v>16</v>
      </c>
      <c r="D835" t="s">
        <v>12</v>
      </c>
      <c r="E835" t="s">
        <v>57</v>
      </c>
      <c r="F835" t="s">
        <v>14</v>
      </c>
      <c r="G835">
        <v>2</v>
      </c>
      <c r="H835" s="1">
        <v>15.99</v>
      </c>
      <c r="I835" s="1">
        <v>31.98</v>
      </c>
      <c r="J835">
        <v>4</v>
      </c>
      <c r="K835" t="str">
        <f>TEXT(tbl_RawSales[[#This Row],[Order Date]],"mmm")</f>
        <v>Sept</v>
      </c>
      <c r="L835">
        <f>MONTH(tbl_RawSales[[#This Row],[Order Date]])</f>
        <v>9</v>
      </c>
      <c r="M835" t="str">
        <f>TEXT(tbl_RawSales[[#This Row],[Order Date]],"ddd")</f>
        <v>Tue</v>
      </c>
      <c r="N835">
        <f>WEEKDAY(tbl_RawSales[[#This Row],[Order Date]],2)</f>
        <v>2</v>
      </c>
    </row>
    <row r="836" spans="1:14" x14ac:dyDescent="0.25">
      <c r="A836" t="s">
        <v>886</v>
      </c>
      <c r="B836" s="20">
        <v>45657</v>
      </c>
      <c r="C836" t="s">
        <v>25</v>
      </c>
      <c r="D836" t="s">
        <v>29</v>
      </c>
      <c r="E836" t="s">
        <v>46</v>
      </c>
      <c r="F836" t="s">
        <v>14</v>
      </c>
      <c r="G836">
        <v>1</v>
      </c>
      <c r="H836" s="1">
        <v>32.99</v>
      </c>
      <c r="I836" s="1">
        <v>32.99</v>
      </c>
      <c r="J836">
        <v>4</v>
      </c>
      <c r="K836" t="str">
        <f>TEXT(tbl_RawSales[[#This Row],[Order Date]],"mmm")</f>
        <v>Dec</v>
      </c>
      <c r="L836">
        <f>MONTH(tbl_RawSales[[#This Row],[Order Date]])</f>
        <v>12</v>
      </c>
      <c r="M836" t="str">
        <f>TEXT(tbl_RawSales[[#This Row],[Order Date]],"ddd")</f>
        <v>Tue</v>
      </c>
      <c r="N836">
        <f>WEEKDAY(tbl_RawSales[[#This Row],[Order Date]],2)</f>
        <v>2</v>
      </c>
    </row>
    <row r="837" spans="1:14" x14ac:dyDescent="0.25">
      <c r="A837" t="s">
        <v>887</v>
      </c>
      <c r="B837" s="20">
        <v>45610</v>
      </c>
      <c r="C837" t="s">
        <v>34</v>
      </c>
      <c r="D837" t="s">
        <v>17</v>
      </c>
      <c r="E837" t="s">
        <v>57</v>
      </c>
      <c r="F837" t="s">
        <v>14</v>
      </c>
      <c r="G837">
        <v>2</v>
      </c>
      <c r="H837" s="1">
        <v>15.99</v>
      </c>
      <c r="I837" s="1">
        <v>31.98</v>
      </c>
      <c r="J837">
        <v>5</v>
      </c>
      <c r="K837" t="str">
        <f>TEXT(tbl_RawSales[[#This Row],[Order Date]],"mmm")</f>
        <v>Nov</v>
      </c>
      <c r="L837">
        <f>MONTH(tbl_RawSales[[#This Row],[Order Date]])</f>
        <v>11</v>
      </c>
      <c r="M837" t="str">
        <f>TEXT(tbl_RawSales[[#This Row],[Order Date]],"ddd")</f>
        <v>Thu</v>
      </c>
      <c r="N837">
        <f>WEEKDAY(tbl_RawSales[[#This Row],[Order Date]],2)</f>
        <v>4</v>
      </c>
    </row>
    <row r="838" spans="1:14" x14ac:dyDescent="0.25">
      <c r="A838" t="s">
        <v>888</v>
      </c>
      <c r="B838" s="20">
        <v>45928</v>
      </c>
      <c r="C838" t="s">
        <v>97</v>
      </c>
      <c r="D838" t="s">
        <v>29</v>
      </c>
      <c r="E838" t="s">
        <v>83</v>
      </c>
      <c r="F838" t="s">
        <v>14</v>
      </c>
      <c r="G838">
        <v>1</v>
      </c>
      <c r="H838" s="1">
        <v>17.989999999999998</v>
      </c>
      <c r="I838" s="1">
        <v>17.989999999999998</v>
      </c>
      <c r="J838">
        <v>5</v>
      </c>
      <c r="K838" t="str">
        <f>TEXT(tbl_RawSales[[#This Row],[Order Date]],"mmm")</f>
        <v>Sept</v>
      </c>
      <c r="L838">
        <f>MONTH(tbl_RawSales[[#This Row],[Order Date]])</f>
        <v>9</v>
      </c>
      <c r="M838" t="str">
        <f>TEXT(tbl_RawSales[[#This Row],[Order Date]],"ddd")</f>
        <v>Sun</v>
      </c>
      <c r="N838">
        <f>WEEKDAY(tbl_RawSales[[#This Row],[Order Date]],2)</f>
        <v>7</v>
      </c>
    </row>
    <row r="839" spans="1:14" x14ac:dyDescent="0.25">
      <c r="A839" t="s">
        <v>889</v>
      </c>
      <c r="B839" s="20">
        <v>45679</v>
      </c>
      <c r="C839" t="s">
        <v>21</v>
      </c>
      <c r="D839" t="s">
        <v>12</v>
      </c>
      <c r="E839" t="s">
        <v>221</v>
      </c>
      <c r="F839" t="s">
        <v>67</v>
      </c>
      <c r="G839">
        <v>1</v>
      </c>
      <c r="H839" s="1">
        <v>9.99</v>
      </c>
      <c r="I839" s="1">
        <v>9.99</v>
      </c>
      <c r="J839">
        <v>3</v>
      </c>
      <c r="K839" t="str">
        <f>TEXT(tbl_RawSales[[#This Row],[Order Date]],"mmm")</f>
        <v>Jan</v>
      </c>
      <c r="L839">
        <f>MONTH(tbl_RawSales[[#This Row],[Order Date]])</f>
        <v>1</v>
      </c>
      <c r="M839" t="str">
        <f>TEXT(tbl_RawSales[[#This Row],[Order Date]],"ddd")</f>
        <v>Wed</v>
      </c>
      <c r="N839">
        <f>WEEKDAY(tbl_RawSales[[#This Row],[Order Date]],2)</f>
        <v>3</v>
      </c>
    </row>
    <row r="840" spans="1:14" x14ac:dyDescent="0.25">
      <c r="A840" t="s">
        <v>890</v>
      </c>
      <c r="B840" s="20">
        <v>45822</v>
      </c>
      <c r="C840" t="s">
        <v>32</v>
      </c>
      <c r="D840" t="s">
        <v>12</v>
      </c>
      <c r="E840" t="s">
        <v>52</v>
      </c>
      <c r="F840" t="s">
        <v>19</v>
      </c>
      <c r="G840">
        <v>2</v>
      </c>
      <c r="H840" s="1">
        <v>6.99</v>
      </c>
      <c r="I840" s="1">
        <v>13.98</v>
      </c>
      <c r="J840">
        <v>4</v>
      </c>
      <c r="K840" t="str">
        <f>TEXT(tbl_RawSales[[#This Row],[Order Date]],"mmm")</f>
        <v>Jun</v>
      </c>
      <c r="L840">
        <f>MONTH(tbl_RawSales[[#This Row],[Order Date]])</f>
        <v>6</v>
      </c>
      <c r="M840" t="str">
        <f>TEXT(tbl_RawSales[[#This Row],[Order Date]],"ddd")</f>
        <v>Sat</v>
      </c>
      <c r="N840">
        <f>WEEKDAY(tbl_RawSales[[#This Row],[Order Date]],2)</f>
        <v>6</v>
      </c>
    </row>
    <row r="841" spans="1:14" x14ac:dyDescent="0.25">
      <c r="A841" t="s">
        <v>891</v>
      </c>
      <c r="B841" s="20">
        <v>45937</v>
      </c>
      <c r="C841" t="s">
        <v>25</v>
      </c>
      <c r="D841" t="s">
        <v>29</v>
      </c>
      <c r="E841" t="s">
        <v>46</v>
      </c>
      <c r="F841" t="s">
        <v>14</v>
      </c>
      <c r="G841">
        <v>3</v>
      </c>
      <c r="H841" s="1">
        <v>32.99</v>
      </c>
      <c r="I841" s="1">
        <v>98.97</v>
      </c>
      <c r="J841">
        <v>4</v>
      </c>
      <c r="K841" t="str">
        <f>TEXT(tbl_RawSales[[#This Row],[Order Date]],"mmm")</f>
        <v>Oct</v>
      </c>
      <c r="L841">
        <f>MONTH(tbl_RawSales[[#This Row],[Order Date]])</f>
        <v>10</v>
      </c>
      <c r="M841" t="str">
        <f>TEXT(tbl_RawSales[[#This Row],[Order Date]],"ddd")</f>
        <v>Tue</v>
      </c>
      <c r="N841">
        <f>WEEKDAY(tbl_RawSales[[#This Row],[Order Date]],2)</f>
        <v>2</v>
      </c>
    </row>
    <row r="842" spans="1:14" x14ac:dyDescent="0.25">
      <c r="A842" t="s">
        <v>892</v>
      </c>
      <c r="B842" s="20">
        <v>45328</v>
      </c>
      <c r="C842" t="s">
        <v>16</v>
      </c>
      <c r="D842" t="s">
        <v>29</v>
      </c>
      <c r="E842" t="s">
        <v>22</v>
      </c>
      <c r="F842" t="s">
        <v>23</v>
      </c>
      <c r="G842">
        <v>1</v>
      </c>
      <c r="H842" s="1">
        <v>8.99</v>
      </c>
      <c r="I842" s="1">
        <v>8.99</v>
      </c>
      <c r="J842">
        <v>4</v>
      </c>
      <c r="K842" t="str">
        <f>TEXT(tbl_RawSales[[#This Row],[Order Date]],"mmm")</f>
        <v>Feb</v>
      </c>
      <c r="L842">
        <f>MONTH(tbl_RawSales[[#This Row],[Order Date]])</f>
        <v>2</v>
      </c>
      <c r="M842" t="str">
        <f>TEXT(tbl_RawSales[[#This Row],[Order Date]],"ddd")</f>
        <v>Tue</v>
      </c>
      <c r="N842">
        <f>WEEKDAY(tbl_RawSales[[#This Row],[Order Date]],2)</f>
        <v>2</v>
      </c>
    </row>
    <row r="843" spans="1:14" x14ac:dyDescent="0.25">
      <c r="A843" t="s">
        <v>893</v>
      </c>
      <c r="B843" s="20">
        <v>45662</v>
      </c>
      <c r="C843" t="s">
        <v>16</v>
      </c>
      <c r="D843" t="s">
        <v>12</v>
      </c>
      <c r="E843" t="s">
        <v>142</v>
      </c>
      <c r="F843" t="s">
        <v>23</v>
      </c>
      <c r="G843">
        <v>2</v>
      </c>
      <c r="H843" s="1">
        <v>14.99</v>
      </c>
      <c r="I843" s="1">
        <v>29.98</v>
      </c>
      <c r="J843">
        <v>4</v>
      </c>
      <c r="K843" t="str">
        <f>TEXT(tbl_RawSales[[#This Row],[Order Date]],"mmm")</f>
        <v>Jan</v>
      </c>
      <c r="L843">
        <f>MONTH(tbl_RawSales[[#This Row],[Order Date]])</f>
        <v>1</v>
      </c>
      <c r="M843" t="str">
        <f>TEXT(tbl_RawSales[[#This Row],[Order Date]],"ddd")</f>
        <v>Sun</v>
      </c>
      <c r="N843">
        <f>WEEKDAY(tbl_RawSales[[#This Row],[Order Date]],2)</f>
        <v>7</v>
      </c>
    </row>
    <row r="844" spans="1:14" x14ac:dyDescent="0.25">
      <c r="A844" t="s">
        <v>894</v>
      </c>
      <c r="B844" s="20">
        <v>45833</v>
      </c>
      <c r="C844" t="s">
        <v>32</v>
      </c>
      <c r="D844" t="s">
        <v>12</v>
      </c>
      <c r="E844" t="s">
        <v>39</v>
      </c>
      <c r="F844" t="s">
        <v>14</v>
      </c>
      <c r="G844">
        <v>1</v>
      </c>
      <c r="H844" s="1">
        <v>24.99</v>
      </c>
      <c r="I844" s="1">
        <v>24.99</v>
      </c>
      <c r="J844">
        <v>3</v>
      </c>
      <c r="K844" t="str">
        <f>TEXT(tbl_RawSales[[#This Row],[Order Date]],"mmm")</f>
        <v>Jun</v>
      </c>
      <c r="L844">
        <f>MONTH(tbl_RawSales[[#This Row],[Order Date]])</f>
        <v>6</v>
      </c>
      <c r="M844" t="str">
        <f>TEXT(tbl_RawSales[[#This Row],[Order Date]],"ddd")</f>
        <v>Wed</v>
      </c>
      <c r="N844">
        <f>WEEKDAY(tbl_RawSales[[#This Row],[Order Date]],2)</f>
        <v>3</v>
      </c>
    </row>
    <row r="845" spans="1:14" x14ac:dyDescent="0.25">
      <c r="A845" t="s">
        <v>895</v>
      </c>
      <c r="B845" s="20">
        <v>45839</v>
      </c>
      <c r="C845" t="s">
        <v>25</v>
      </c>
      <c r="D845" t="s">
        <v>12</v>
      </c>
      <c r="E845" t="s">
        <v>41</v>
      </c>
      <c r="F845" t="s">
        <v>23</v>
      </c>
      <c r="G845">
        <v>1</v>
      </c>
      <c r="H845" s="1">
        <v>12.99</v>
      </c>
      <c r="I845" s="1">
        <v>12.99</v>
      </c>
      <c r="J845">
        <v>3</v>
      </c>
      <c r="K845" t="str">
        <f>TEXT(tbl_RawSales[[#This Row],[Order Date]],"mmm")</f>
        <v>Jul</v>
      </c>
      <c r="L845">
        <f>MONTH(tbl_RawSales[[#This Row],[Order Date]])</f>
        <v>7</v>
      </c>
      <c r="M845" t="str">
        <f>TEXT(tbl_RawSales[[#This Row],[Order Date]],"ddd")</f>
        <v>Tue</v>
      </c>
      <c r="N845">
        <f>WEEKDAY(tbl_RawSales[[#This Row],[Order Date]],2)</f>
        <v>2</v>
      </c>
    </row>
    <row r="846" spans="1:14" x14ac:dyDescent="0.25">
      <c r="A846" t="s">
        <v>896</v>
      </c>
      <c r="B846" s="20">
        <v>45450</v>
      </c>
      <c r="C846" t="s">
        <v>38</v>
      </c>
      <c r="D846" t="s">
        <v>12</v>
      </c>
      <c r="E846" t="s">
        <v>57</v>
      </c>
      <c r="F846" t="s">
        <v>14</v>
      </c>
      <c r="G846">
        <v>2</v>
      </c>
      <c r="H846" s="1">
        <v>15.99</v>
      </c>
      <c r="I846" s="1">
        <v>31.98</v>
      </c>
      <c r="J846">
        <v>4</v>
      </c>
      <c r="K846" t="str">
        <f>TEXT(tbl_RawSales[[#This Row],[Order Date]],"mmm")</f>
        <v>Jun</v>
      </c>
      <c r="L846">
        <f>MONTH(tbl_RawSales[[#This Row],[Order Date]])</f>
        <v>6</v>
      </c>
      <c r="M846" t="str">
        <f>TEXT(tbl_RawSales[[#This Row],[Order Date]],"ddd")</f>
        <v>Fri</v>
      </c>
      <c r="N846">
        <f>WEEKDAY(tbl_RawSales[[#This Row],[Order Date]],2)</f>
        <v>5</v>
      </c>
    </row>
    <row r="847" spans="1:14" x14ac:dyDescent="0.25">
      <c r="A847" t="s">
        <v>897</v>
      </c>
      <c r="B847" s="20">
        <v>45524</v>
      </c>
      <c r="C847" t="s">
        <v>38</v>
      </c>
      <c r="D847" t="s">
        <v>12</v>
      </c>
      <c r="E847" t="s">
        <v>43</v>
      </c>
      <c r="F847" t="s">
        <v>23</v>
      </c>
      <c r="G847">
        <v>2</v>
      </c>
      <c r="H847" s="1">
        <v>11.99</v>
      </c>
      <c r="I847" s="1">
        <v>23.98</v>
      </c>
      <c r="J847">
        <v>4</v>
      </c>
      <c r="K847" t="str">
        <f>TEXT(tbl_RawSales[[#This Row],[Order Date]],"mmm")</f>
        <v>Aug</v>
      </c>
      <c r="L847">
        <f>MONTH(tbl_RawSales[[#This Row],[Order Date]])</f>
        <v>8</v>
      </c>
      <c r="M847" t="str">
        <f>TEXT(tbl_RawSales[[#This Row],[Order Date]],"ddd")</f>
        <v>Tue</v>
      </c>
      <c r="N847">
        <f>WEEKDAY(tbl_RawSales[[#This Row],[Order Date]],2)</f>
        <v>2</v>
      </c>
    </row>
    <row r="848" spans="1:14" x14ac:dyDescent="0.25">
      <c r="A848" t="s">
        <v>898</v>
      </c>
      <c r="B848" s="20">
        <v>45922</v>
      </c>
      <c r="C848" t="s">
        <v>21</v>
      </c>
      <c r="D848" t="s">
        <v>29</v>
      </c>
      <c r="E848" t="s">
        <v>119</v>
      </c>
      <c r="F848" t="s">
        <v>19</v>
      </c>
      <c r="G848">
        <v>2</v>
      </c>
      <c r="H848" s="1">
        <v>4.99</v>
      </c>
      <c r="I848" s="1">
        <v>9.98</v>
      </c>
      <c r="J848">
        <v>4</v>
      </c>
      <c r="K848" t="str">
        <f>TEXT(tbl_RawSales[[#This Row],[Order Date]],"mmm")</f>
        <v>Sept</v>
      </c>
      <c r="L848">
        <f>MONTH(tbl_RawSales[[#This Row],[Order Date]])</f>
        <v>9</v>
      </c>
      <c r="M848" t="str">
        <f>TEXT(tbl_RawSales[[#This Row],[Order Date]],"ddd")</f>
        <v>Mon</v>
      </c>
      <c r="N848">
        <f>WEEKDAY(tbl_RawSales[[#This Row],[Order Date]],2)</f>
        <v>1</v>
      </c>
    </row>
    <row r="849" spans="1:14" x14ac:dyDescent="0.25">
      <c r="A849" t="s">
        <v>899</v>
      </c>
      <c r="B849" s="20">
        <v>45438</v>
      </c>
      <c r="C849" t="s">
        <v>25</v>
      </c>
      <c r="D849" t="s">
        <v>12</v>
      </c>
      <c r="E849" t="s">
        <v>26</v>
      </c>
      <c r="F849" t="s">
        <v>19</v>
      </c>
      <c r="G849">
        <v>3</v>
      </c>
      <c r="H849" s="1">
        <v>3.49</v>
      </c>
      <c r="I849" s="1">
        <v>10.47</v>
      </c>
      <c r="J849">
        <v>4</v>
      </c>
      <c r="K849" t="str">
        <f>TEXT(tbl_RawSales[[#This Row],[Order Date]],"mmm")</f>
        <v>May</v>
      </c>
      <c r="L849">
        <f>MONTH(tbl_RawSales[[#This Row],[Order Date]])</f>
        <v>5</v>
      </c>
      <c r="M849" t="str">
        <f>TEXT(tbl_RawSales[[#This Row],[Order Date]],"ddd")</f>
        <v>Sun</v>
      </c>
      <c r="N849">
        <f>WEEKDAY(tbl_RawSales[[#This Row],[Order Date]],2)</f>
        <v>7</v>
      </c>
    </row>
    <row r="850" spans="1:14" x14ac:dyDescent="0.25">
      <c r="A850" t="s">
        <v>900</v>
      </c>
      <c r="B850" s="20">
        <v>45355</v>
      </c>
      <c r="C850" t="s">
        <v>28</v>
      </c>
      <c r="D850" t="s">
        <v>29</v>
      </c>
      <c r="E850" t="s">
        <v>13</v>
      </c>
      <c r="F850" t="s">
        <v>14</v>
      </c>
      <c r="G850">
        <v>2</v>
      </c>
      <c r="H850" s="1">
        <v>18.989999999999998</v>
      </c>
      <c r="I850" s="1">
        <v>37.979999999999997</v>
      </c>
      <c r="J850">
        <v>3</v>
      </c>
      <c r="K850" t="str">
        <f>TEXT(tbl_RawSales[[#This Row],[Order Date]],"mmm")</f>
        <v>Mar</v>
      </c>
      <c r="L850">
        <f>MONTH(tbl_RawSales[[#This Row],[Order Date]])</f>
        <v>3</v>
      </c>
      <c r="M850" t="str">
        <f>TEXT(tbl_RawSales[[#This Row],[Order Date]],"ddd")</f>
        <v>Mon</v>
      </c>
      <c r="N850">
        <f>WEEKDAY(tbl_RawSales[[#This Row],[Order Date]],2)</f>
        <v>1</v>
      </c>
    </row>
    <row r="851" spans="1:14" x14ac:dyDescent="0.25">
      <c r="A851" t="s">
        <v>901</v>
      </c>
      <c r="B851" s="20">
        <v>45911</v>
      </c>
      <c r="C851" t="s">
        <v>11</v>
      </c>
      <c r="D851" t="s">
        <v>12</v>
      </c>
      <c r="E851" t="s">
        <v>50</v>
      </c>
      <c r="F851" t="s">
        <v>14</v>
      </c>
      <c r="G851">
        <v>2</v>
      </c>
      <c r="H851" s="1">
        <v>22.99</v>
      </c>
      <c r="I851" s="1">
        <v>45.98</v>
      </c>
      <c r="J851">
        <v>3</v>
      </c>
      <c r="K851" t="str">
        <f>TEXT(tbl_RawSales[[#This Row],[Order Date]],"mmm")</f>
        <v>Sept</v>
      </c>
      <c r="L851">
        <f>MONTH(tbl_RawSales[[#This Row],[Order Date]])</f>
        <v>9</v>
      </c>
      <c r="M851" t="str">
        <f>TEXT(tbl_RawSales[[#This Row],[Order Date]],"ddd")</f>
        <v>Thu</v>
      </c>
      <c r="N851">
        <f>WEEKDAY(tbl_RawSales[[#This Row],[Order Date]],2)</f>
        <v>4</v>
      </c>
    </row>
    <row r="852" spans="1:14" x14ac:dyDescent="0.25">
      <c r="A852" t="s">
        <v>902</v>
      </c>
      <c r="B852" s="20">
        <v>45901</v>
      </c>
      <c r="C852" t="s">
        <v>97</v>
      </c>
      <c r="D852" t="s">
        <v>17</v>
      </c>
      <c r="E852" t="s">
        <v>79</v>
      </c>
      <c r="F852" t="s">
        <v>67</v>
      </c>
      <c r="G852">
        <v>2</v>
      </c>
      <c r="H852" s="1">
        <v>10.99</v>
      </c>
      <c r="I852" s="1">
        <v>21.98</v>
      </c>
      <c r="J852">
        <v>4</v>
      </c>
      <c r="K852" t="str">
        <f>TEXT(tbl_RawSales[[#This Row],[Order Date]],"mmm")</f>
        <v>Sept</v>
      </c>
      <c r="L852">
        <f>MONTH(tbl_RawSales[[#This Row],[Order Date]])</f>
        <v>9</v>
      </c>
      <c r="M852" t="str">
        <f>TEXT(tbl_RawSales[[#This Row],[Order Date]],"ddd")</f>
        <v>Mon</v>
      </c>
      <c r="N852">
        <f>WEEKDAY(tbl_RawSales[[#This Row],[Order Date]],2)</f>
        <v>1</v>
      </c>
    </row>
    <row r="853" spans="1:14" x14ac:dyDescent="0.25">
      <c r="A853" t="s">
        <v>903</v>
      </c>
      <c r="B853" s="20">
        <v>45890</v>
      </c>
      <c r="C853" t="s">
        <v>34</v>
      </c>
      <c r="D853" t="s">
        <v>12</v>
      </c>
      <c r="E853" t="s">
        <v>57</v>
      </c>
      <c r="F853" t="s">
        <v>14</v>
      </c>
      <c r="G853">
        <v>1</v>
      </c>
      <c r="H853" s="1">
        <v>15.99</v>
      </c>
      <c r="I853" s="1">
        <v>15.99</v>
      </c>
      <c r="J853">
        <v>4</v>
      </c>
      <c r="K853" t="str">
        <f>TEXT(tbl_RawSales[[#This Row],[Order Date]],"mmm")</f>
        <v>Aug</v>
      </c>
      <c r="L853">
        <f>MONTH(tbl_RawSales[[#This Row],[Order Date]])</f>
        <v>8</v>
      </c>
      <c r="M853" t="str">
        <f>TEXT(tbl_RawSales[[#This Row],[Order Date]],"ddd")</f>
        <v>Thu</v>
      </c>
      <c r="N853">
        <f>WEEKDAY(tbl_RawSales[[#This Row],[Order Date]],2)</f>
        <v>4</v>
      </c>
    </row>
    <row r="854" spans="1:14" x14ac:dyDescent="0.25">
      <c r="A854" t="s">
        <v>904</v>
      </c>
      <c r="B854" s="20">
        <v>45447</v>
      </c>
      <c r="C854" t="s">
        <v>97</v>
      </c>
      <c r="D854" t="s">
        <v>12</v>
      </c>
      <c r="E854" t="s">
        <v>57</v>
      </c>
      <c r="F854" t="s">
        <v>14</v>
      </c>
      <c r="G854">
        <v>3</v>
      </c>
      <c r="H854" s="1">
        <v>15.99</v>
      </c>
      <c r="I854" s="1">
        <v>47.97</v>
      </c>
      <c r="J854">
        <v>4</v>
      </c>
      <c r="K854" t="str">
        <f>TEXT(tbl_RawSales[[#This Row],[Order Date]],"mmm")</f>
        <v>Jun</v>
      </c>
      <c r="L854">
        <f>MONTH(tbl_RawSales[[#This Row],[Order Date]])</f>
        <v>6</v>
      </c>
      <c r="M854" t="str">
        <f>TEXT(tbl_RawSales[[#This Row],[Order Date]],"ddd")</f>
        <v>Tue</v>
      </c>
      <c r="N854">
        <f>WEEKDAY(tbl_RawSales[[#This Row],[Order Date]],2)</f>
        <v>2</v>
      </c>
    </row>
    <row r="855" spans="1:14" x14ac:dyDescent="0.25">
      <c r="A855" t="s">
        <v>905</v>
      </c>
      <c r="B855" s="20">
        <v>45733</v>
      </c>
      <c r="C855" t="s">
        <v>34</v>
      </c>
      <c r="D855" t="s">
        <v>29</v>
      </c>
      <c r="E855" t="s">
        <v>50</v>
      </c>
      <c r="F855" t="s">
        <v>14</v>
      </c>
      <c r="G855">
        <v>4</v>
      </c>
      <c r="H855" s="1">
        <v>22.99</v>
      </c>
      <c r="I855" s="1">
        <v>91.96</v>
      </c>
      <c r="J855">
        <v>4</v>
      </c>
      <c r="K855" t="str">
        <f>TEXT(tbl_RawSales[[#This Row],[Order Date]],"mmm")</f>
        <v>Mar</v>
      </c>
      <c r="L855">
        <f>MONTH(tbl_RawSales[[#This Row],[Order Date]])</f>
        <v>3</v>
      </c>
      <c r="M855" t="str">
        <f>TEXT(tbl_RawSales[[#This Row],[Order Date]],"ddd")</f>
        <v>Mon</v>
      </c>
      <c r="N855">
        <f>WEEKDAY(tbl_RawSales[[#This Row],[Order Date]],2)</f>
        <v>1</v>
      </c>
    </row>
    <row r="856" spans="1:14" x14ac:dyDescent="0.25">
      <c r="A856" t="s">
        <v>906</v>
      </c>
      <c r="B856" s="20">
        <v>45390</v>
      </c>
      <c r="C856" t="s">
        <v>16</v>
      </c>
      <c r="D856" t="s">
        <v>29</v>
      </c>
      <c r="E856" t="s">
        <v>69</v>
      </c>
      <c r="F856" t="s">
        <v>67</v>
      </c>
      <c r="G856">
        <v>2</v>
      </c>
      <c r="H856" s="1">
        <v>8.99</v>
      </c>
      <c r="I856" s="1">
        <v>17.98</v>
      </c>
      <c r="J856">
        <v>4</v>
      </c>
      <c r="K856" t="str">
        <f>TEXT(tbl_RawSales[[#This Row],[Order Date]],"mmm")</f>
        <v>Apr</v>
      </c>
      <c r="L856">
        <f>MONTH(tbl_RawSales[[#This Row],[Order Date]])</f>
        <v>4</v>
      </c>
      <c r="M856" t="str">
        <f>TEXT(tbl_RawSales[[#This Row],[Order Date]],"ddd")</f>
        <v>Mon</v>
      </c>
      <c r="N856">
        <f>WEEKDAY(tbl_RawSales[[#This Row],[Order Date]],2)</f>
        <v>1</v>
      </c>
    </row>
    <row r="857" spans="1:14" x14ac:dyDescent="0.25">
      <c r="A857" t="s">
        <v>907</v>
      </c>
      <c r="B857" s="20">
        <v>45808</v>
      </c>
      <c r="C857" t="s">
        <v>32</v>
      </c>
      <c r="D857" t="s">
        <v>29</v>
      </c>
      <c r="E857" t="s">
        <v>26</v>
      </c>
      <c r="F857" t="s">
        <v>19</v>
      </c>
      <c r="G857">
        <v>2</v>
      </c>
      <c r="H857" s="1">
        <v>3.49</v>
      </c>
      <c r="I857" s="1">
        <v>6.98</v>
      </c>
      <c r="J857">
        <v>2</v>
      </c>
      <c r="K857" t="str">
        <f>TEXT(tbl_RawSales[[#This Row],[Order Date]],"mmm")</f>
        <v>May</v>
      </c>
      <c r="L857">
        <f>MONTH(tbl_RawSales[[#This Row],[Order Date]])</f>
        <v>5</v>
      </c>
      <c r="M857" t="str">
        <f>TEXT(tbl_RawSales[[#This Row],[Order Date]],"ddd")</f>
        <v>Sat</v>
      </c>
      <c r="N857">
        <f>WEEKDAY(tbl_RawSales[[#This Row],[Order Date]],2)</f>
        <v>6</v>
      </c>
    </row>
    <row r="858" spans="1:14" x14ac:dyDescent="0.25">
      <c r="A858" t="s">
        <v>908</v>
      </c>
      <c r="B858" s="20">
        <v>45540</v>
      </c>
      <c r="C858" t="s">
        <v>97</v>
      </c>
      <c r="D858" t="s">
        <v>29</v>
      </c>
      <c r="E858" t="s">
        <v>57</v>
      </c>
      <c r="F858" t="s">
        <v>14</v>
      </c>
      <c r="G858">
        <v>1</v>
      </c>
      <c r="H858" s="1">
        <v>15.99</v>
      </c>
      <c r="I858" s="1">
        <v>15.99</v>
      </c>
      <c r="J858">
        <v>4</v>
      </c>
      <c r="K858" t="str">
        <f>TEXT(tbl_RawSales[[#This Row],[Order Date]],"mmm")</f>
        <v>Sept</v>
      </c>
      <c r="L858">
        <f>MONTH(tbl_RawSales[[#This Row],[Order Date]])</f>
        <v>9</v>
      </c>
      <c r="M858" t="str">
        <f>TEXT(tbl_RawSales[[#This Row],[Order Date]],"ddd")</f>
        <v>Thu</v>
      </c>
      <c r="N858">
        <f>WEEKDAY(tbl_RawSales[[#This Row],[Order Date]],2)</f>
        <v>4</v>
      </c>
    </row>
    <row r="859" spans="1:14" x14ac:dyDescent="0.25">
      <c r="A859" t="s">
        <v>909</v>
      </c>
      <c r="B859" s="20">
        <v>46010</v>
      </c>
      <c r="C859" t="s">
        <v>16</v>
      </c>
      <c r="D859" t="s">
        <v>12</v>
      </c>
      <c r="E859" t="s">
        <v>55</v>
      </c>
      <c r="F859" t="s">
        <v>23</v>
      </c>
      <c r="G859">
        <v>1</v>
      </c>
      <c r="H859" s="1">
        <v>10.99</v>
      </c>
      <c r="I859" s="1">
        <v>10.99</v>
      </c>
      <c r="J859">
        <v>4</v>
      </c>
      <c r="K859" t="str">
        <f>TEXT(tbl_RawSales[[#This Row],[Order Date]],"mmm")</f>
        <v>Dec</v>
      </c>
      <c r="L859">
        <f>MONTH(tbl_RawSales[[#This Row],[Order Date]])</f>
        <v>12</v>
      </c>
      <c r="M859" t="str">
        <f>TEXT(tbl_RawSales[[#This Row],[Order Date]],"ddd")</f>
        <v>Fri</v>
      </c>
      <c r="N859">
        <f>WEEKDAY(tbl_RawSales[[#This Row],[Order Date]],2)</f>
        <v>5</v>
      </c>
    </row>
    <row r="860" spans="1:14" x14ac:dyDescent="0.25">
      <c r="A860" t="s">
        <v>910</v>
      </c>
      <c r="B860" s="20">
        <v>45954</v>
      </c>
      <c r="C860" t="s">
        <v>34</v>
      </c>
      <c r="D860" t="s">
        <v>12</v>
      </c>
      <c r="E860" t="s">
        <v>57</v>
      </c>
      <c r="F860" t="s">
        <v>14</v>
      </c>
      <c r="G860">
        <v>1</v>
      </c>
      <c r="H860" s="1">
        <v>15.99</v>
      </c>
      <c r="I860" s="1">
        <v>15.99</v>
      </c>
      <c r="J860">
        <v>5</v>
      </c>
      <c r="K860" t="str">
        <f>TEXT(tbl_RawSales[[#This Row],[Order Date]],"mmm")</f>
        <v>Oct</v>
      </c>
      <c r="L860">
        <f>MONTH(tbl_RawSales[[#This Row],[Order Date]])</f>
        <v>10</v>
      </c>
      <c r="M860" t="str">
        <f>TEXT(tbl_RawSales[[#This Row],[Order Date]],"ddd")</f>
        <v>Fri</v>
      </c>
      <c r="N860">
        <f>WEEKDAY(tbl_RawSales[[#This Row],[Order Date]],2)</f>
        <v>5</v>
      </c>
    </row>
    <row r="861" spans="1:14" x14ac:dyDescent="0.25">
      <c r="A861" t="s">
        <v>911</v>
      </c>
      <c r="B861" s="20">
        <v>45683</v>
      </c>
      <c r="C861" t="s">
        <v>25</v>
      </c>
      <c r="D861" t="s">
        <v>29</v>
      </c>
      <c r="E861" t="s">
        <v>74</v>
      </c>
      <c r="F861" t="s">
        <v>14</v>
      </c>
      <c r="G861">
        <v>1</v>
      </c>
      <c r="H861" s="1">
        <v>14.99</v>
      </c>
      <c r="I861" s="1">
        <v>14.99</v>
      </c>
      <c r="J861">
        <v>3</v>
      </c>
      <c r="K861" t="str">
        <f>TEXT(tbl_RawSales[[#This Row],[Order Date]],"mmm")</f>
        <v>Jan</v>
      </c>
      <c r="L861">
        <f>MONTH(tbl_RawSales[[#This Row],[Order Date]])</f>
        <v>1</v>
      </c>
      <c r="M861" t="str">
        <f>TEXT(tbl_RawSales[[#This Row],[Order Date]],"ddd")</f>
        <v>Sun</v>
      </c>
      <c r="N861">
        <f>WEEKDAY(tbl_RawSales[[#This Row],[Order Date]],2)</f>
        <v>7</v>
      </c>
    </row>
    <row r="862" spans="1:14" x14ac:dyDescent="0.25">
      <c r="A862" t="s">
        <v>912</v>
      </c>
      <c r="B862" s="20">
        <v>45676</v>
      </c>
      <c r="C862" t="s">
        <v>28</v>
      </c>
      <c r="D862" t="s">
        <v>12</v>
      </c>
      <c r="E862" t="s">
        <v>57</v>
      </c>
      <c r="F862" t="s">
        <v>14</v>
      </c>
      <c r="G862">
        <v>4</v>
      </c>
      <c r="H862" s="1">
        <v>15.99</v>
      </c>
      <c r="I862" s="1">
        <v>63.96</v>
      </c>
      <c r="J862">
        <v>4</v>
      </c>
      <c r="K862" t="str">
        <f>TEXT(tbl_RawSales[[#This Row],[Order Date]],"mmm")</f>
        <v>Jan</v>
      </c>
      <c r="L862">
        <f>MONTH(tbl_RawSales[[#This Row],[Order Date]])</f>
        <v>1</v>
      </c>
      <c r="M862" t="str">
        <f>TEXT(tbl_RawSales[[#This Row],[Order Date]],"ddd")</f>
        <v>Sun</v>
      </c>
      <c r="N862">
        <f>WEEKDAY(tbl_RawSales[[#This Row],[Order Date]],2)</f>
        <v>7</v>
      </c>
    </row>
    <row r="863" spans="1:14" x14ac:dyDescent="0.25">
      <c r="A863" t="s">
        <v>913</v>
      </c>
      <c r="B863" s="20">
        <v>45864</v>
      </c>
      <c r="C863" t="s">
        <v>16</v>
      </c>
      <c r="D863" t="s">
        <v>17</v>
      </c>
      <c r="E863" t="s">
        <v>18</v>
      </c>
      <c r="F863" t="s">
        <v>19</v>
      </c>
      <c r="G863">
        <v>1</v>
      </c>
      <c r="H863" s="1">
        <v>9.99</v>
      </c>
      <c r="I863" s="1">
        <v>9.99</v>
      </c>
      <c r="J863">
        <v>4</v>
      </c>
      <c r="K863" t="str">
        <f>TEXT(tbl_RawSales[[#This Row],[Order Date]],"mmm")</f>
        <v>Jul</v>
      </c>
      <c r="L863">
        <f>MONTH(tbl_RawSales[[#This Row],[Order Date]])</f>
        <v>7</v>
      </c>
      <c r="M863" t="str">
        <f>TEXT(tbl_RawSales[[#This Row],[Order Date]],"ddd")</f>
        <v>Sat</v>
      </c>
      <c r="N863">
        <f>WEEKDAY(tbl_RawSales[[#This Row],[Order Date]],2)</f>
        <v>6</v>
      </c>
    </row>
    <row r="864" spans="1:14" x14ac:dyDescent="0.25">
      <c r="A864" t="s">
        <v>914</v>
      </c>
      <c r="B864" s="20">
        <v>45472</v>
      </c>
      <c r="C864" t="s">
        <v>11</v>
      </c>
      <c r="D864" t="s">
        <v>29</v>
      </c>
      <c r="E864" t="s">
        <v>39</v>
      </c>
      <c r="F864" t="s">
        <v>14</v>
      </c>
      <c r="G864">
        <v>3</v>
      </c>
      <c r="H864" s="1">
        <v>24.99</v>
      </c>
      <c r="I864" s="1">
        <v>74.97</v>
      </c>
      <c r="J864">
        <v>3</v>
      </c>
      <c r="K864" t="str">
        <f>TEXT(tbl_RawSales[[#This Row],[Order Date]],"mmm")</f>
        <v>Jun</v>
      </c>
      <c r="L864">
        <f>MONTH(tbl_RawSales[[#This Row],[Order Date]])</f>
        <v>6</v>
      </c>
      <c r="M864" t="str">
        <f>TEXT(tbl_RawSales[[#This Row],[Order Date]],"ddd")</f>
        <v>Sat</v>
      </c>
      <c r="N864">
        <f>WEEKDAY(tbl_RawSales[[#This Row],[Order Date]],2)</f>
        <v>6</v>
      </c>
    </row>
    <row r="865" spans="1:14" x14ac:dyDescent="0.25">
      <c r="A865" t="s">
        <v>915</v>
      </c>
      <c r="B865" s="20">
        <v>45907</v>
      </c>
      <c r="C865" t="s">
        <v>34</v>
      </c>
      <c r="D865" t="s">
        <v>29</v>
      </c>
      <c r="E865" t="s">
        <v>74</v>
      </c>
      <c r="F865" t="s">
        <v>14</v>
      </c>
      <c r="G865">
        <v>2</v>
      </c>
      <c r="H865" s="1">
        <v>14.99</v>
      </c>
      <c r="I865" s="1">
        <v>29.98</v>
      </c>
      <c r="J865">
        <v>4</v>
      </c>
      <c r="K865" t="str">
        <f>TEXT(tbl_RawSales[[#This Row],[Order Date]],"mmm")</f>
        <v>Sept</v>
      </c>
      <c r="L865">
        <f>MONTH(tbl_RawSales[[#This Row],[Order Date]])</f>
        <v>9</v>
      </c>
      <c r="M865" t="str">
        <f>TEXT(tbl_RawSales[[#This Row],[Order Date]],"ddd")</f>
        <v>Sun</v>
      </c>
      <c r="N865">
        <f>WEEKDAY(tbl_RawSales[[#This Row],[Order Date]],2)</f>
        <v>7</v>
      </c>
    </row>
    <row r="866" spans="1:14" x14ac:dyDescent="0.25">
      <c r="A866" t="s">
        <v>916</v>
      </c>
      <c r="B866" s="20">
        <v>45604</v>
      </c>
      <c r="C866" t="s">
        <v>11</v>
      </c>
      <c r="D866" t="s">
        <v>17</v>
      </c>
      <c r="E866" t="s">
        <v>13</v>
      </c>
      <c r="F866" t="s">
        <v>14</v>
      </c>
      <c r="G866">
        <v>1</v>
      </c>
      <c r="H866" s="1">
        <v>18.989999999999998</v>
      </c>
      <c r="I866" s="1">
        <v>18.989999999999998</v>
      </c>
      <c r="J866">
        <v>4</v>
      </c>
      <c r="K866" t="str">
        <f>TEXT(tbl_RawSales[[#This Row],[Order Date]],"mmm")</f>
        <v>Nov</v>
      </c>
      <c r="L866">
        <f>MONTH(tbl_RawSales[[#This Row],[Order Date]])</f>
        <v>11</v>
      </c>
      <c r="M866" t="str">
        <f>TEXT(tbl_RawSales[[#This Row],[Order Date]],"ddd")</f>
        <v>Fri</v>
      </c>
      <c r="N866">
        <f>WEEKDAY(tbl_RawSales[[#This Row],[Order Date]],2)</f>
        <v>5</v>
      </c>
    </row>
    <row r="867" spans="1:14" x14ac:dyDescent="0.25">
      <c r="A867" t="s">
        <v>917</v>
      </c>
      <c r="B867" s="20">
        <v>45663</v>
      </c>
      <c r="C867" t="s">
        <v>38</v>
      </c>
      <c r="D867" t="s">
        <v>29</v>
      </c>
      <c r="E867" t="s">
        <v>18</v>
      </c>
      <c r="F867" t="s">
        <v>19</v>
      </c>
      <c r="G867">
        <v>2</v>
      </c>
      <c r="H867" s="1">
        <v>9.99</v>
      </c>
      <c r="I867" s="1">
        <v>19.98</v>
      </c>
      <c r="J867">
        <v>3</v>
      </c>
      <c r="K867" t="str">
        <f>TEXT(tbl_RawSales[[#This Row],[Order Date]],"mmm")</f>
        <v>Jan</v>
      </c>
      <c r="L867">
        <f>MONTH(tbl_RawSales[[#This Row],[Order Date]])</f>
        <v>1</v>
      </c>
      <c r="M867" t="str">
        <f>TEXT(tbl_RawSales[[#This Row],[Order Date]],"ddd")</f>
        <v>Mon</v>
      </c>
      <c r="N867">
        <f>WEEKDAY(tbl_RawSales[[#This Row],[Order Date]],2)</f>
        <v>1</v>
      </c>
    </row>
    <row r="868" spans="1:14" x14ac:dyDescent="0.25">
      <c r="A868" t="s">
        <v>918</v>
      </c>
      <c r="B868" s="20">
        <v>45702</v>
      </c>
      <c r="C868" t="s">
        <v>45</v>
      </c>
      <c r="D868" t="s">
        <v>12</v>
      </c>
      <c r="E868" t="s">
        <v>74</v>
      </c>
      <c r="F868" t="s">
        <v>14</v>
      </c>
      <c r="G868">
        <v>1</v>
      </c>
      <c r="H868" s="1">
        <v>14.99</v>
      </c>
      <c r="I868" s="1">
        <v>14.99</v>
      </c>
      <c r="J868">
        <v>5</v>
      </c>
      <c r="K868" t="str">
        <f>TEXT(tbl_RawSales[[#This Row],[Order Date]],"mmm")</f>
        <v>Feb</v>
      </c>
      <c r="L868">
        <f>MONTH(tbl_RawSales[[#This Row],[Order Date]])</f>
        <v>2</v>
      </c>
      <c r="M868" t="str">
        <f>TEXT(tbl_RawSales[[#This Row],[Order Date]],"ddd")</f>
        <v>Fri</v>
      </c>
      <c r="N868">
        <f>WEEKDAY(tbl_RawSales[[#This Row],[Order Date]],2)</f>
        <v>5</v>
      </c>
    </row>
    <row r="869" spans="1:14" x14ac:dyDescent="0.25">
      <c r="A869" t="s">
        <v>919</v>
      </c>
      <c r="B869" s="20">
        <v>45797</v>
      </c>
      <c r="C869" t="s">
        <v>32</v>
      </c>
      <c r="D869" t="s">
        <v>29</v>
      </c>
      <c r="E869" t="s">
        <v>57</v>
      </c>
      <c r="F869" t="s">
        <v>14</v>
      </c>
      <c r="G869">
        <v>2</v>
      </c>
      <c r="H869" s="1">
        <v>15.99</v>
      </c>
      <c r="I869" s="1">
        <v>31.98</v>
      </c>
      <c r="J869">
        <v>4</v>
      </c>
      <c r="K869" t="str">
        <f>TEXT(tbl_RawSales[[#This Row],[Order Date]],"mmm")</f>
        <v>May</v>
      </c>
      <c r="L869">
        <f>MONTH(tbl_RawSales[[#This Row],[Order Date]])</f>
        <v>5</v>
      </c>
      <c r="M869" t="str">
        <f>TEXT(tbl_RawSales[[#This Row],[Order Date]],"ddd")</f>
        <v>Tue</v>
      </c>
      <c r="N869">
        <f>WEEKDAY(tbl_RawSales[[#This Row],[Order Date]],2)</f>
        <v>2</v>
      </c>
    </row>
    <row r="870" spans="1:14" x14ac:dyDescent="0.25">
      <c r="A870" t="s">
        <v>920</v>
      </c>
      <c r="B870" s="20">
        <v>45597</v>
      </c>
      <c r="C870" t="s">
        <v>16</v>
      </c>
      <c r="D870" t="s">
        <v>17</v>
      </c>
      <c r="E870" t="s">
        <v>52</v>
      </c>
      <c r="F870" t="s">
        <v>19</v>
      </c>
      <c r="G870">
        <v>1</v>
      </c>
      <c r="H870" s="1">
        <v>6.99</v>
      </c>
      <c r="I870" s="1">
        <v>6.99</v>
      </c>
      <c r="J870">
        <v>3</v>
      </c>
      <c r="K870" t="str">
        <f>TEXT(tbl_RawSales[[#This Row],[Order Date]],"mmm")</f>
        <v>Nov</v>
      </c>
      <c r="L870">
        <f>MONTH(tbl_RawSales[[#This Row],[Order Date]])</f>
        <v>11</v>
      </c>
      <c r="M870" t="str">
        <f>TEXT(tbl_RawSales[[#This Row],[Order Date]],"ddd")</f>
        <v>Fri</v>
      </c>
      <c r="N870">
        <f>WEEKDAY(tbl_RawSales[[#This Row],[Order Date]],2)</f>
        <v>5</v>
      </c>
    </row>
    <row r="871" spans="1:14" x14ac:dyDescent="0.25">
      <c r="A871" t="s">
        <v>921</v>
      </c>
      <c r="B871" s="20">
        <v>45998</v>
      </c>
      <c r="C871" t="s">
        <v>16</v>
      </c>
      <c r="D871" t="s">
        <v>12</v>
      </c>
      <c r="E871" t="s">
        <v>13</v>
      </c>
      <c r="F871" t="s">
        <v>14</v>
      </c>
      <c r="G871">
        <v>2</v>
      </c>
      <c r="H871" s="1">
        <v>18.989999999999998</v>
      </c>
      <c r="I871" s="1">
        <v>37.979999999999997</v>
      </c>
      <c r="J871">
        <v>3</v>
      </c>
      <c r="K871" t="str">
        <f>TEXT(tbl_RawSales[[#This Row],[Order Date]],"mmm")</f>
        <v>Dec</v>
      </c>
      <c r="L871">
        <f>MONTH(tbl_RawSales[[#This Row],[Order Date]])</f>
        <v>12</v>
      </c>
      <c r="M871" t="str">
        <f>TEXT(tbl_RawSales[[#This Row],[Order Date]],"ddd")</f>
        <v>Sun</v>
      </c>
      <c r="N871">
        <f>WEEKDAY(tbl_RawSales[[#This Row],[Order Date]],2)</f>
        <v>7</v>
      </c>
    </row>
    <row r="872" spans="1:14" x14ac:dyDescent="0.25">
      <c r="A872" t="s">
        <v>922</v>
      </c>
      <c r="B872" s="20">
        <v>45959</v>
      </c>
      <c r="C872" t="s">
        <v>34</v>
      </c>
      <c r="D872" t="s">
        <v>12</v>
      </c>
      <c r="E872" t="s">
        <v>36</v>
      </c>
      <c r="F872" t="s">
        <v>14</v>
      </c>
      <c r="G872">
        <v>1</v>
      </c>
      <c r="H872" s="1">
        <v>16.989999999999998</v>
      </c>
      <c r="I872" s="1">
        <v>16.989999999999998</v>
      </c>
      <c r="J872">
        <v>4</v>
      </c>
      <c r="K872" t="str">
        <f>TEXT(tbl_RawSales[[#This Row],[Order Date]],"mmm")</f>
        <v>Oct</v>
      </c>
      <c r="L872">
        <f>MONTH(tbl_RawSales[[#This Row],[Order Date]])</f>
        <v>10</v>
      </c>
      <c r="M872" t="str">
        <f>TEXT(tbl_RawSales[[#This Row],[Order Date]],"ddd")</f>
        <v>Wed</v>
      </c>
      <c r="N872">
        <f>WEEKDAY(tbl_RawSales[[#This Row],[Order Date]],2)</f>
        <v>3</v>
      </c>
    </row>
    <row r="873" spans="1:14" x14ac:dyDescent="0.25">
      <c r="A873" t="s">
        <v>923</v>
      </c>
      <c r="B873" s="20">
        <v>45647</v>
      </c>
      <c r="C873" t="s">
        <v>28</v>
      </c>
      <c r="D873" t="s">
        <v>12</v>
      </c>
      <c r="E873" t="s">
        <v>142</v>
      </c>
      <c r="F873" t="s">
        <v>23</v>
      </c>
      <c r="G873">
        <v>2</v>
      </c>
      <c r="H873" s="1">
        <v>14.99</v>
      </c>
      <c r="I873" s="1">
        <v>29.98</v>
      </c>
      <c r="J873">
        <v>4</v>
      </c>
      <c r="K873" t="str">
        <f>TEXT(tbl_RawSales[[#This Row],[Order Date]],"mmm")</f>
        <v>Dec</v>
      </c>
      <c r="L873">
        <f>MONTH(tbl_RawSales[[#This Row],[Order Date]])</f>
        <v>12</v>
      </c>
      <c r="M873" t="str">
        <f>TEXT(tbl_RawSales[[#This Row],[Order Date]],"ddd")</f>
        <v>Sat</v>
      </c>
      <c r="N873">
        <f>WEEKDAY(tbl_RawSales[[#This Row],[Order Date]],2)</f>
        <v>6</v>
      </c>
    </row>
    <row r="874" spans="1:14" x14ac:dyDescent="0.25">
      <c r="A874" t="s">
        <v>924</v>
      </c>
      <c r="B874" s="20">
        <v>45843</v>
      </c>
      <c r="C874" t="s">
        <v>97</v>
      </c>
      <c r="D874" t="s">
        <v>12</v>
      </c>
      <c r="E874" t="s">
        <v>62</v>
      </c>
      <c r="F874" t="s">
        <v>23</v>
      </c>
      <c r="G874">
        <v>2</v>
      </c>
      <c r="H874" s="1">
        <v>9.99</v>
      </c>
      <c r="I874" s="1">
        <v>19.98</v>
      </c>
      <c r="J874">
        <v>5</v>
      </c>
      <c r="K874" t="str">
        <f>TEXT(tbl_RawSales[[#This Row],[Order Date]],"mmm")</f>
        <v>Jul</v>
      </c>
      <c r="L874">
        <f>MONTH(tbl_RawSales[[#This Row],[Order Date]])</f>
        <v>7</v>
      </c>
      <c r="M874" t="str">
        <f>TEXT(tbl_RawSales[[#This Row],[Order Date]],"ddd")</f>
        <v>Sat</v>
      </c>
      <c r="N874">
        <f>WEEKDAY(tbl_RawSales[[#This Row],[Order Date]],2)</f>
        <v>6</v>
      </c>
    </row>
    <row r="875" spans="1:14" x14ac:dyDescent="0.25">
      <c r="A875" t="s">
        <v>925</v>
      </c>
      <c r="B875" s="20">
        <v>45824</v>
      </c>
      <c r="C875" t="s">
        <v>28</v>
      </c>
      <c r="D875" t="s">
        <v>29</v>
      </c>
      <c r="E875" t="s">
        <v>30</v>
      </c>
      <c r="F875" t="s">
        <v>19</v>
      </c>
      <c r="G875">
        <v>1</v>
      </c>
      <c r="H875" s="1">
        <v>7.99</v>
      </c>
      <c r="I875" s="1">
        <v>7.99</v>
      </c>
      <c r="J875">
        <v>3</v>
      </c>
      <c r="K875" t="str">
        <f>TEXT(tbl_RawSales[[#This Row],[Order Date]],"mmm")</f>
        <v>Jun</v>
      </c>
      <c r="L875">
        <f>MONTH(tbl_RawSales[[#This Row],[Order Date]])</f>
        <v>6</v>
      </c>
      <c r="M875" t="str">
        <f>TEXT(tbl_RawSales[[#This Row],[Order Date]],"ddd")</f>
        <v>Mon</v>
      </c>
      <c r="N875">
        <f>WEEKDAY(tbl_RawSales[[#This Row],[Order Date]],2)</f>
        <v>1</v>
      </c>
    </row>
    <row r="876" spans="1:14" x14ac:dyDescent="0.25">
      <c r="A876" t="s">
        <v>926</v>
      </c>
      <c r="B876" s="20">
        <v>45543</v>
      </c>
      <c r="C876" t="s">
        <v>28</v>
      </c>
      <c r="D876" t="s">
        <v>17</v>
      </c>
      <c r="E876" t="s">
        <v>13</v>
      </c>
      <c r="F876" t="s">
        <v>14</v>
      </c>
      <c r="G876">
        <v>3</v>
      </c>
      <c r="H876" s="1">
        <v>18.989999999999998</v>
      </c>
      <c r="I876" s="1">
        <v>56.97</v>
      </c>
      <c r="J876">
        <v>4</v>
      </c>
      <c r="K876" t="str">
        <f>TEXT(tbl_RawSales[[#This Row],[Order Date]],"mmm")</f>
        <v>Sept</v>
      </c>
      <c r="L876">
        <f>MONTH(tbl_RawSales[[#This Row],[Order Date]])</f>
        <v>9</v>
      </c>
      <c r="M876" t="str">
        <f>TEXT(tbl_RawSales[[#This Row],[Order Date]],"ddd")</f>
        <v>Sun</v>
      </c>
      <c r="N876">
        <f>WEEKDAY(tbl_RawSales[[#This Row],[Order Date]],2)</f>
        <v>7</v>
      </c>
    </row>
    <row r="877" spans="1:14" x14ac:dyDescent="0.25">
      <c r="A877" t="s">
        <v>927</v>
      </c>
      <c r="B877" s="20">
        <v>45515</v>
      </c>
      <c r="C877" t="s">
        <v>45</v>
      </c>
      <c r="D877" t="s">
        <v>29</v>
      </c>
      <c r="E877" t="s">
        <v>13</v>
      </c>
      <c r="F877" t="s">
        <v>14</v>
      </c>
      <c r="G877">
        <v>1</v>
      </c>
      <c r="H877" s="1">
        <v>18.989999999999998</v>
      </c>
      <c r="I877" s="1">
        <v>18.989999999999998</v>
      </c>
      <c r="J877">
        <v>5</v>
      </c>
      <c r="K877" t="str">
        <f>TEXT(tbl_RawSales[[#This Row],[Order Date]],"mmm")</f>
        <v>Aug</v>
      </c>
      <c r="L877">
        <f>MONTH(tbl_RawSales[[#This Row],[Order Date]])</f>
        <v>8</v>
      </c>
      <c r="M877" t="str">
        <f>TEXT(tbl_RawSales[[#This Row],[Order Date]],"ddd")</f>
        <v>Sun</v>
      </c>
      <c r="N877">
        <f>WEEKDAY(tbl_RawSales[[#This Row],[Order Date]],2)</f>
        <v>7</v>
      </c>
    </row>
    <row r="878" spans="1:14" x14ac:dyDescent="0.25">
      <c r="A878" t="s">
        <v>928</v>
      </c>
      <c r="B878" s="20">
        <v>45581</v>
      </c>
      <c r="C878" t="s">
        <v>21</v>
      </c>
      <c r="D878" t="s">
        <v>12</v>
      </c>
      <c r="E878" t="s">
        <v>50</v>
      </c>
      <c r="F878" t="s">
        <v>14</v>
      </c>
      <c r="G878">
        <v>3</v>
      </c>
      <c r="H878" s="1">
        <v>22.99</v>
      </c>
      <c r="I878" s="1">
        <v>68.97</v>
      </c>
      <c r="J878">
        <v>5</v>
      </c>
      <c r="K878" t="str">
        <f>TEXT(tbl_RawSales[[#This Row],[Order Date]],"mmm")</f>
        <v>Oct</v>
      </c>
      <c r="L878">
        <f>MONTH(tbl_RawSales[[#This Row],[Order Date]])</f>
        <v>10</v>
      </c>
      <c r="M878" t="str">
        <f>TEXT(tbl_RawSales[[#This Row],[Order Date]],"ddd")</f>
        <v>Wed</v>
      </c>
      <c r="N878">
        <f>WEEKDAY(tbl_RawSales[[#This Row],[Order Date]],2)</f>
        <v>3</v>
      </c>
    </row>
    <row r="879" spans="1:14" x14ac:dyDescent="0.25">
      <c r="A879" t="s">
        <v>929</v>
      </c>
      <c r="B879" s="20">
        <v>45670</v>
      </c>
      <c r="C879" t="s">
        <v>32</v>
      </c>
      <c r="D879" t="s">
        <v>12</v>
      </c>
      <c r="E879" t="s">
        <v>119</v>
      </c>
      <c r="F879" t="s">
        <v>19</v>
      </c>
      <c r="G879">
        <v>2</v>
      </c>
      <c r="H879" s="1">
        <v>4.99</v>
      </c>
      <c r="I879" s="1">
        <v>9.98</v>
      </c>
      <c r="J879">
        <v>2</v>
      </c>
      <c r="K879" t="str">
        <f>TEXT(tbl_RawSales[[#This Row],[Order Date]],"mmm")</f>
        <v>Jan</v>
      </c>
      <c r="L879">
        <f>MONTH(tbl_RawSales[[#This Row],[Order Date]])</f>
        <v>1</v>
      </c>
      <c r="M879" t="str">
        <f>TEXT(tbl_RawSales[[#This Row],[Order Date]],"ddd")</f>
        <v>Mon</v>
      </c>
      <c r="N879">
        <f>WEEKDAY(tbl_RawSales[[#This Row],[Order Date]],2)</f>
        <v>1</v>
      </c>
    </row>
    <row r="880" spans="1:14" x14ac:dyDescent="0.25">
      <c r="A880" t="s">
        <v>930</v>
      </c>
      <c r="B880" s="20">
        <v>45592</v>
      </c>
      <c r="C880" t="s">
        <v>97</v>
      </c>
      <c r="D880" t="s">
        <v>29</v>
      </c>
      <c r="E880" t="s">
        <v>119</v>
      </c>
      <c r="F880" t="s">
        <v>19</v>
      </c>
      <c r="G880">
        <v>2</v>
      </c>
      <c r="H880" s="1">
        <v>4.99</v>
      </c>
      <c r="I880" s="1">
        <v>9.98</v>
      </c>
      <c r="J880">
        <v>4</v>
      </c>
      <c r="K880" t="str">
        <f>TEXT(tbl_RawSales[[#This Row],[Order Date]],"mmm")</f>
        <v>Oct</v>
      </c>
      <c r="L880">
        <f>MONTH(tbl_RawSales[[#This Row],[Order Date]])</f>
        <v>10</v>
      </c>
      <c r="M880" t="str">
        <f>TEXT(tbl_RawSales[[#This Row],[Order Date]],"ddd")</f>
        <v>Sun</v>
      </c>
      <c r="N880">
        <f>WEEKDAY(tbl_RawSales[[#This Row],[Order Date]],2)</f>
        <v>7</v>
      </c>
    </row>
    <row r="881" spans="1:14" x14ac:dyDescent="0.25">
      <c r="A881" t="s">
        <v>931</v>
      </c>
      <c r="B881" s="20">
        <v>45371</v>
      </c>
      <c r="C881" t="s">
        <v>34</v>
      </c>
      <c r="D881" t="s">
        <v>29</v>
      </c>
      <c r="E881" t="s">
        <v>43</v>
      </c>
      <c r="F881" t="s">
        <v>23</v>
      </c>
      <c r="G881">
        <v>2</v>
      </c>
      <c r="H881" s="1">
        <v>11.99</v>
      </c>
      <c r="I881" s="1">
        <v>23.98</v>
      </c>
      <c r="J881">
        <v>4</v>
      </c>
      <c r="K881" t="str">
        <f>TEXT(tbl_RawSales[[#This Row],[Order Date]],"mmm")</f>
        <v>Mar</v>
      </c>
      <c r="L881">
        <f>MONTH(tbl_RawSales[[#This Row],[Order Date]])</f>
        <v>3</v>
      </c>
      <c r="M881" t="str">
        <f>TEXT(tbl_RawSales[[#This Row],[Order Date]],"ddd")</f>
        <v>Wed</v>
      </c>
      <c r="N881">
        <f>WEEKDAY(tbl_RawSales[[#This Row],[Order Date]],2)</f>
        <v>3</v>
      </c>
    </row>
    <row r="882" spans="1:14" x14ac:dyDescent="0.25">
      <c r="A882" t="s">
        <v>932</v>
      </c>
      <c r="B882" s="20">
        <v>45941</v>
      </c>
      <c r="C882" t="s">
        <v>28</v>
      </c>
      <c r="D882" t="s">
        <v>29</v>
      </c>
      <c r="E882" t="s">
        <v>22</v>
      </c>
      <c r="F882" t="s">
        <v>23</v>
      </c>
      <c r="G882">
        <v>1</v>
      </c>
      <c r="H882" s="1">
        <v>8.99</v>
      </c>
      <c r="I882" s="1">
        <v>8.99</v>
      </c>
      <c r="J882">
        <v>4</v>
      </c>
      <c r="K882" t="str">
        <f>TEXT(tbl_RawSales[[#This Row],[Order Date]],"mmm")</f>
        <v>Oct</v>
      </c>
      <c r="L882">
        <f>MONTH(tbl_RawSales[[#This Row],[Order Date]])</f>
        <v>10</v>
      </c>
      <c r="M882" t="str">
        <f>TEXT(tbl_RawSales[[#This Row],[Order Date]],"ddd")</f>
        <v>Sat</v>
      </c>
      <c r="N882">
        <f>WEEKDAY(tbl_RawSales[[#This Row],[Order Date]],2)</f>
        <v>6</v>
      </c>
    </row>
    <row r="883" spans="1:14" x14ac:dyDescent="0.25">
      <c r="A883" t="s">
        <v>933</v>
      </c>
      <c r="B883" s="20">
        <v>45767</v>
      </c>
      <c r="C883" t="s">
        <v>11</v>
      </c>
      <c r="D883" t="s">
        <v>12</v>
      </c>
      <c r="E883" t="s">
        <v>36</v>
      </c>
      <c r="F883" t="s">
        <v>14</v>
      </c>
      <c r="G883">
        <v>2</v>
      </c>
      <c r="H883" s="1">
        <v>16.989999999999998</v>
      </c>
      <c r="I883" s="1">
        <v>33.979999999999997</v>
      </c>
      <c r="J883">
        <v>5</v>
      </c>
      <c r="K883" t="str">
        <f>TEXT(tbl_RawSales[[#This Row],[Order Date]],"mmm")</f>
        <v>Apr</v>
      </c>
      <c r="L883">
        <f>MONTH(tbl_RawSales[[#This Row],[Order Date]])</f>
        <v>4</v>
      </c>
      <c r="M883" t="str">
        <f>TEXT(tbl_RawSales[[#This Row],[Order Date]],"ddd")</f>
        <v>Sun</v>
      </c>
      <c r="N883">
        <f>WEEKDAY(tbl_RawSales[[#This Row],[Order Date]],2)</f>
        <v>7</v>
      </c>
    </row>
    <row r="884" spans="1:14" x14ac:dyDescent="0.25">
      <c r="A884" t="s">
        <v>934</v>
      </c>
      <c r="B884" s="20">
        <v>45445</v>
      </c>
      <c r="C884" t="s">
        <v>25</v>
      </c>
      <c r="D884" t="s">
        <v>29</v>
      </c>
      <c r="E884" t="s">
        <v>55</v>
      </c>
      <c r="F884" t="s">
        <v>23</v>
      </c>
      <c r="G884">
        <v>4</v>
      </c>
      <c r="H884" s="1">
        <v>10.99</v>
      </c>
      <c r="I884" s="1">
        <v>43.96</v>
      </c>
      <c r="J884">
        <v>4</v>
      </c>
      <c r="K884" t="str">
        <f>TEXT(tbl_RawSales[[#This Row],[Order Date]],"mmm")</f>
        <v>Jun</v>
      </c>
      <c r="L884">
        <f>MONTH(tbl_RawSales[[#This Row],[Order Date]])</f>
        <v>6</v>
      </c>
      <c r="M884" t="str">
        <f>TEXT(tbl_RawSales[[#This Row],[Order Date]],"ddd")</f>
        <v>Sun</v>
      </c>
      <c r="N884">
        <f>WEEKDAY(tbl_RawSales[[#This Row],[Order Date]],2)</f>
        <v>7</v>
      </c>
    </row>
    <row r="885" spans="1:14" x14ac:dyDescent="0.25">
      <c r="A885" t="s">
        <v>935</v>
      </c>
      <c r="B885" s="20">
        <v>45913</v>
      </c>
      <c r="C885" t="s">
        <v>97</v>
      </c>
      <c r="D885" t="s">
        <v>17</v>
      </c>
      <c r="E885" t="s">
        <v>46</v>
      </c>
      <c r="F885" t="s">
        <v>14</v>
      </c>
      <c r="G885">
        <v>3</v>
      </c>
      <c r="H885" s="1">
        <v>32.99</v>
      </c>
      <c r="I885" s="1">
        <v>98.97</v>
      </c>
      <c r="J885">
        <v>3</v>
      </c>
      <c r="K885" t="str">
        <f>TEXT(tbl_RawSales[[#This Row],[Order Date]],"mmm")</f>
        <v>Sept</v>
      </c>
      <c r="L885">
        <f>MONTH(tbl_RawSales[[#This Row],[Order Date]])</f>
        <v>9</v>
      </c>
      <c r="M885" t="str">
        <f>TEXT(tbl_RawSales[[#This Row],[Order Date]],"ddd")</f>
        <v>Sat</v>
      </c>
      <c r="N885">
        <f>WEEKDAY(tbl_RawSales[[#This Row],[Order Date]],2)</f>
        <v>6</v>
      </c>
    </row>
    <row r="886" spans="1:14" x14ac:dyDescent="0.25">
      <c r="A886" t="s">
        <v>936</v>
      </c>
      <c r="B886" s="20">
        <v>45638</v>
      </c>
      <c r="C886" t="s">
        <v>97</v>
      </c>
      <c r="D886" t="s">
        <v>17</v>
      </c>
      <c r="E886" t="s">
        <v>50</v>
      </c>
      <c r="F886" t="s">
        <v>14</v>
      </c>
      <c r="G886">
        <v>1</v>
      </c>
      <c r="H886" s="1">
        <v>22.99</v>
      </c>
      <c r="I886" s="1">
        <v>22.99</v>
      </c>
      <c r="J886">
        <v>5</v>
      </c>
      <c r="K886" t="str">
        <f>TEXT(tbl_RawSales[[#This Row],[Order Date]],"mmm")</f>
        <v>Dec</v>
      </c>
      <c r="L886">
        <f>MONTH(tbl_RawSales[[#This Row],[Order Date]])</f>
        <v>12</v>
      </c>
      <c r="M886" t="str">
        <f>TEXT(tbl_RawSales[[#This Row],[Order Date]],"ddd")</f>
        <v>Thu</v>
      </c>
      <c r="N886">
        <f>WEEKDAY(tbl_RawSales[[#This Row],[Order Date]],2)</f>
        <v>4</v>
      </c>
    </row>
    <row r="887" spans="1:14" x14ac:dyDescent="0.25">
      <c r="A887" t="s">
        <v>937</v>
      </c>
      <c r="B887" s="20">
        <v>45310</v>
      </c>
      <c r="C887" t="s">
        <v>32</v>
      </c>
      <c r="D887" t="s">
        <v>29</v>
      </c>
      <c r="E887" t="s">
        <v>22</v>
      </c>
      <c r="F887" t="s">
        <v>23</v>
      </c>
      <c r="G887">
        <v>2</v>
      </c>
      <c r="H887" s="1">
        <v>8.99</v>
      </c>
      <c r="I887" s="1">
        <v>17.98</v>
      </c>
      <c r="J887">
        <v>2</v>
      </c>
      <c r="K887" t="str">
        <f>TEXT(tbl_RawSales[[#This Row],[Order Date]],"mmm")</f>
        <v>Jan</v>
      </c>
      <c r="L887">
        <f>MONTH(tbl_RawSales[[#This Row],[Order Date]])</f>
        <v>1</v>
      </c>
      <c r="M887" t="str">
        <f>TEXT(tbl_RawSales[[#This Row],[Order Date]],"ddd")</f>
        <v>Fri</v>
      </c>
      <c r="N887">
        <f>WEEKDAY(tbl_RawSales[[#This Row],[Order Date]],2)</f>
        <v>5</v>
      </c>
    </row>
    <row r="888" spans="1:14" x14ac:dyDescent="0.25">
      <c r="A888" t="s">
        <v>938</v>
      </c>
      <c r="B888" s="20">
        <v>45637</v>
      </c>
      <c r="C888" t="s">
        <v>97</v>
      </c>
      <c r="D888" t="s">
        <v>29</v>
      </c>
      <c r="E888" t="s">
        <v>62</v>
      </c>
      <c r="F888" t="s">
        <v>23</v>
      </c>
      <c r="G888">
        <v>1</v>
      </c>
      <c r="H888" s="1">
        <v>9.99</v>
      </c>
      <c r="I888" s="1">
        <v>9.99</v>
      </c>
      <c r="J888">
        <v>5</v>
      </c>
      <c r="K888" t="str">
        <f>TEXT(tbl_RawSales[[#This Row],[Order Date]],"mmm")</f>
        <v>Dec</v>
      </c>
      <c r="L888">
        <f>MONTH(tbl_RawSales[[#This Row],[Order Date]])</f>
        <v>12</v>
      </c>
      <c r="M888" t="str">
        <f>TEXT(tbl_RawSales[[#This Row],[Order Date]],"ddd")</f>
        <v>Wed</v>
      </c>
      <c r="N888">
        <f>WEEKDAY(tbl_RawSales[[#This Row],[Order Date]],2)</f>
        <v>3</v>
      </c>
    </row>
    <row r="889" spans="1:14" x14ac:dyDescent="0.25">
      <c r="A889" t="s">
        <v>939</v>
      </c>
      <c r="B889" s="20">
        <v>45805</v>
      </c>
      <c r="C889" t="s">
        <v>38</v>
      </c>
      <c r="D889" t="s">
        <v>29</v>
      </c>
      <c r="E889" t="s">
        <v>142</v>
      </c>
      <c r="F889" t="s">
        <v>23</v>
      </c>
      <c r="G889">
        <v>1</v>
      </c>
      <c r="H889" s="1">
        <v>14.99</v>
      </c>
      <c r="I889" s="1">
        <v>14.99</v>
      </c>
      <c r="J889">
        <v>5</v>
      </c>
      <c r="K889" t="str">
        <f>TEXT(tbl_RawSales[[#This Row],[Order Date]],"mmm")</f>
        <v>May</v>
      </c>
      <c r="L889">
        <f>MONTH(tbl_RawSales[[#This Row],[Order Date]])</f>
        <v>5</v>
      </c>
      <c r="M889" t="str">
        <f>TEXT(tbl_RawSales[[#This Row],[Order Date]],"ddd")</f>
        <v>Wed</v>
      </c>
      <c r="N889">
        <f>WEEKDAY(tbl_RawSales[[#This Row],[Order Date]],2)</f>
        <v>3</v>
      </c>
    </row>
    <row r="890" spans="1:14" x14ac:dyDescent="0.25">
      <c r="A890" t="s">
        <v>940</v>
      </c>
      <c r="B890" s="20">
        <v>45897</v>
      </c>
      <c r="C890" t="s">
        <v>11</v>
      </c>
      <c r="D890" t="s">
        <v>29</v>
      </c>
      <c r="E890" t="s">
        <v>50</v>
      </c>
      <c r="F890" t="s">
        <v>14</v>
      </c>
      <c r="G890">
        <v>1</v>
      </c>
      <c r="H890" s="1">
        <v>22.99</v>
      </c>
      <c r="I890" s="1">
        <v>22.99</v>
      </c>
      <c r="J890">
        <v>3</v>
      </c>
      <c r="K890" t="str">
        <f>TEXT(tbl_RawSales[[#This Row],[Order Date]],"mmm")</f>
        <v>Aug</v>
      </c>
      <c r="L890">
        <f>MONTH(tbl_RawSales[[#This Row],[Order Date]])</f>
        <v>8</v>
      </c>
      <c r="M890" t="str">
        <f>TEXT(tbl_RawSales[[#This Row],[Order Date]],"ddd")</f>
        <v>Thu</v>
      </c>
      <c r="N890">
        <f>WEEKDAY(tbl_RawSales[[#This Row],[Order Date]],2)</f>
        <v>4</v>
      </c>
    </row>
    <row r="891" spans="1:14" x14ac:dyDescent="0.25">
      <c r="A891" t="s">
        <v>941</v>
      </c>
      <c r="B891" s="20">
        <v>45360</v>
      </c>
      <c r="C891" t="s">
        <v>32</v>
      </c>
      <c r="D891" t="s">
        <v>12</v>
      </c>
      <c r="E891" t="s">
        <v>83</v>
      </c>
      <c r="F891" t="s">
        <v>14</v>
      </c>
      <c r="G891">
        <v>1</v>
      </c>
      <c r="H891" s="1">
        <v>17.989999999999998</v>
      </c>
      <c r="I891" s="1">
        <v>17.989999999999998</v>
      </c>
      <c r="J891">
        <v>2</v>
      </c>
      <c r="K891" t="str">
        <f>TEXT(tbl_RawSales[[#This Row],[Order Date]],"mmm")</f>
        <v>Mar</v>
      </c>
      <c r="L891">
        <f>MONTH(tbl_RawSales[[#This Row],[Order Date]])</f>
        <v>3</v>
      </c>
      <c r="M891" t="str">
        <f>TEXT(tbl_RawSales[[#This Row],[Order Date]],"ddd")</f>
        <v>Sat</v>
      </c>
      <c r="N891">
        <f>WEEKDAY(tbl_RawSales[[#This Row],[Order Date]],2)</f>
        <v>6</v>
      </c>
    </row>
    <row r="892" spans="1:14" x14ac:dyDescent="0.25">
      <c r="A892" t="s">
        <v>942</v>
      </c>
      <c r="B892" s="20">
        <v>45662</v>
      </c>
      <c r="C892" t="s">
        <v>28</v>
      </c>
      <c r="D892" t="s">
        <v>29</v>
      </c>
      <c r="E892" t="s">
        <v>26</v>
      </c>
      <c r="F892" t="s">
        <v>19</v>
      </c>
      <c r="G892">
        <v>1</v>
      </c>
      <c r="H892" s="1">
        <v>3.49</v>
      </c>
      <c r="I892" s="1">
        <v>3.49</v>
      </c>
      <c r="J892">
        <v>4</v>
      </c>
      <c r="K892" t="str">
        <f>TEXT(tbl_RawSales[[#This Row],[Order Date]],"mmm")</f>
        <v>Jan</v>
      </c>
      <c r="L892">
        <f>MONTH(tbl_RawSales[[#This Row],[Order Date]])</f>
        <v>1</v>
      </c>
      <c r="M892" t="str">
        <f>TEXT(tbl_RawSales[[#This Row],[Order Date]],"ddd")</f>
        <v>Sun</v>
      </c>
      <c r="N892">
        <f>WEEKDAY(tbl_RawSales[[#This Row],[Order Date]],2)</f>
        <v>7</v>
      </c>
    </row>
    <row r="893" spans="1:14" x14ac:dyDescent="0.25">
      <c r="A893" t="s">
        <v>943</v>
      </c>
      <c r="B893" s="20">
        <v>45513</v>
      </c>
      <c r="C893" t="s">
        <v>45</v>
      </c>
      <c r="D893" t="s">
        <v>12</v>
      </c>
      <c r="E893" t="s">
        <v>221</v>
      </c>
      <c r="F893" t="s">
        <v>67</v>
      </c>
      <c r="G893">
        <v>3</v>
      </c>
      <c r="H893" s="1">
        <v>9.99</v>
      </c>
      <c r="I893" s="1">
        <v>29.97</v>
      </c>
      <c r="J893">
        <v>5</v>
      </c>
      <c r="K893" t="str">
        <f>TEXT(tbl_RawSales[[#This Row],[Order Date]],"mmm")</f>
        <v>Aug</v>
      </c>
      <c r="L893">
        <f>MONTH(tbl_RawSales[[#This Row],[Order Date]])</f>
        <v>8</v>
      </c>
      <c r="M893" t="str">
        <f>TEXT(tbl_RawSales[[#This Row],[Order Date]],"ddd")</f>
        <v>Fri</v>
      </c>
      <c r="N893">
        <f>WEEKDAY(tbl_RawSales[[#This Row],[Order Date]],2)</f>
        <v>5</v>
      </c>
    </row>
    <row r="894" spans="1:14" x14ac:dyDescent="0.25">
      <c r="A894" t="s">
        <v>944</v>
      </c>
      <c r="B894" s="20">
        <v>45955</v>
      </c>
      <c r="C894" t="s">
        <v>97</v>
      </c>
      <c r="D894" t="s">
        <v>29</v>
      </c>
      <c r="E894" t="s">
        <v>62</v>
      </c>
      <c r="F894" t="s">
        <v>23</v>
      </c>
      <c r="G894">
        <v>2</v>
      </c>
      <c r="H894" s="1">
        <v>9.99</v>
      </c>
      <c r="I894" s="1">
        <v>19.98</v>
      </c>
      <c r="J894">
        <v>3</v>
      </c>
      <c r="K894" t="str">
        <f>TEXT(tbl_RawSales[[#This Row],[Order Date]],"mmm")</f>
        <v>Oct</v>
      </c>
      <c r="L894">
        <f>MONTH(tbl_RawSales[[#This Row],[Order Date]])</f>
        <v>10</v>
      </c>
      <c r="M894" t="str">
        <f>TEXT(tbl_RawSales[[#This Row],[Order Date]],"ddd")</f>
        <v>Sat</v>
      </c>
      <c r="N894">
        <f>WEEKDAY(tbl_RawSales[[#This Row],[Order Date]],2)</f>
        <v>6</v>
      </c>
    </row>
    <row r="895" spans="1:14" x14ac:dyDescent="0.25">
      <c r="A895" t="s">
        <v>945</v>
      </c>
      <c r="B895" s="20">
        <v>45806</v>
      </c>
      <c r="C895" t="s">
        <v>32</v>
      </c>
      <c r="D895" t="s">
        <v>12</v>
      </c>
      <c r="E895" t="s">
        <v>36</v>
      </c>
      <c r="F895" t="s">
        <v>14</v>
      </c>
      <c r="G895">
        <v>1</v>
      </c>
      <c r="H895" s="1">
        <v>16.989999999999998</v>
      </c>
      <c r="I895" s="1">
        <v>16.989999999999998</v>
      </c>
      <c r="J895">
        <v>2</v>
      </c>
      <c r="K895" t="str">
        <f>TEXT(tbl_RawSales[[#This Row],[Order Date]],"mmm")</f>
        <v>May</v>
      </c>
      <c r="L895">
        <f>MONTH(tbl_RawSales[[#This Row],[Order Date]])</f>
        <v>5</v>
      </c>
      <c r="M895" t="str">
        <f>TEXT(tbl_RawSales[[#This Row],[Order Date]],"ddd")</f>
        <v>Thu</v>
      </c>
      <c r="N895">
        <f>WEEKDAY(tbl_RawSales[[#This Row],[Order Date]],2)</f>
        <v>4</v>
      </c>
    </row>
    <row r="896" spans="1:14" x14ac:dyDescent="0.25">
      <c r="A896" t="s">
        <v>946</v>
      </c>
      <c r="B896" s="20">
        <v>45409</v>
      </c>
      <c r="C896" t="s">
        <v>21</v>
      </c>
      <c r="D896" t="s">
        <v>17</v>
      </c>
      <c r="E896" t="s">
        <v>57</v>
      </c>
      <c r="F896" t="s">
        <v>14</v>
      </c>
      <c r="G896">
        <v>1</v>
      </c>
      <c r="H896" s="1">
        <v>15.99</v>
      </c>
      <c r="I896" s="1">
        <v>15.99</v>
      </c>
      <c r="J896">
        <v>4</v>
      </c>
      <c r="K896" t="str">
        <f>TEXT(tbl_RawSales[[#This Row],[Order Date]],"mmm")</f>
        <v>Apr</v>
      </c>
      <c r="L896">
        <f>MONTH(tbl_RawSales[[#This Row],[Order Date]])</f>
        <v>4</v>
      </c>
      <c r="M896" t="str">
        <f>TEXT(tbl_RawSales[[#This Row],[Order Date]],"ddd")</f>
        <v>Sat</v>
      </c>
      <c r="N896">
        <f>WEEKDAY(tbl_RawSales[[#This Row],[Order Date]],2)</f>
        <v>6</v>
      </c>
    </row>
    <row r="897" spans="1:14" x14ac:dyDescent="0.25">
      <c r="A897" t="s">
        <v>947</v>
      </c>
      <c r="B897" s="20">
        <v>45498</v>
      </c>
      <c r="C897" t="s">
        <v>38</v>
      </c>
      <c r="D897" t="s">
        <v>12</v>
      </c>
      <c r="E897" t="s">
        <v>74</v>
      </c>
      <c r="F897" t="s">
        <v>14</v>
      </c>
      <c r="G897">
        <v>1</v>
      </c>
      <c r="H897" s="1">
        <v>14.99</v>
      </c>
      <c r="I897" s="1">
        <v>14.99</v>
      </c>
      <c r="J897">
        <v>5</v>
      </c>
      <c r="K897" t="str">
        <f>TEXT(tbl_RawSales[[#This Row],[Order Date]],"mmm")</f>
        <v>Jul</v>
      </c>
      <c r="L897">
        <f>MONTH(tbl_RawSales[[#This Row],[Order Date]])</f>
        <v>7</v>
      </c>
      <c r="M897" t="str">
        <f>TEXT(tbl_RawSales[[#This Row],[Order Date]],"ddd")</f>
        <v>Thu</v>
      </c>
      <c r="N897">
        <f>WEEKDAY(tbl_RawSales[[#This Row],[Order Date]],2)</f>
        <v>4</v>
      </c>
    </row>
    <row r="898" spans="1:14" x14ac:dyDescent="0.25">
      <c r="A898" t="s">
        <v>948</v>
      </c>
      <c r="B898" s="20">
        <v>45447</v>
      </c>
      <c r="C898" t="s">
        <v>97</v>
      </c>
      <c r="D898" t="s">
        <v>17</v>
      </c>
      <c r="E898" t="s">
        <v>74</v>
      </c>
      <c r="F898" t="s">
        <v>14</v>
      </c>
      <c r="G898">
        <v>1</v>
      </c>
      <c r="H898" s="1">
        <v>14.99</v>
      </c>
      <c r="I898" s="1">
        <v>14.99</v>
      </c>
      <c r="J898">
        <v>2</v>
      </c>
      <c r="K898" t="str">
        <f>TEXT(tbl_RawSales[[#This Row],[Order Date]],"mmm")</f>
        <v>Jun</v>
      </c>
      <c r="L898">
        <f>MONTH(tbl_RawSales[[#This Row],[Order Date]])</f>
        <v>6</v>
      </c>
      <c r="M898" t="str">
        <f>TEXT(tbl_RawSales[[#This Row],[Order Date]],"ddd")</f>
        <v>Tue</v>
      </c>
      <c r="N898">
        <f>WEEKDAY(tbl_RawSales[[#This Row],[Order Date]],2)</f>
        <v>2</v>
      </c>
    </row>
    <row r="899" spans="1:14" x14ac:dyDescent="0.25">
      <c r="A899" t="s">
        <v>949</v>
      </c>
      <c r="B899" s="20">
        <v>45459</v>
      </c>
      <c r="C899" t="s">
        <v>16</v>
      </c>
      <c r="D899" t="s">
        <v>29</v>
      </c>
      <c r="E899" t="s">
        <v>50</v>
      </c>
      <c r="F899" t="s">
        <v>14</v>
      </c>
      <c r="G899">
        <v>2</v>
      </c>
      <c r="H899" s="1">
        <v>22.99</v>
      </c>
      <c r="I899" s="1">
        <v>45.98</v>
      </c>
      <c r="J899">
        <v>4</v>
      </c>
      <c r="K899" t="str">
        <f>TEXT(tbl_RawSales[[#This Row],[Order Date]],"mmm")</f>
        <v>Jun</v>
      </c>
      <c r="L899">
        <f>MONTH(tbl_RawSales[[#This Row],[Order Date]])</f>
        <v>6</v>
      </c>
      <c r="M899" t="str">
        <f>TEXT(tbl_RawSales[[#This Row],[Order Date]],"ddd")</f>
        <v>Sun</v>
      </c>
      <c r="N899">
        <f>WEEKDAY(tbl_RawSales[[#This Row],[Order Date]],2)</f>
        <v>7</v>
      </c>
    </row>
    <row r="900" spans="1:14" x14ac:dyDescent="0.25">
      <c r="A900" t="s">
        <v>950</v>
      </c>
      <c r="B900" s="20">
        <v>45319</v>
      </c>
      <c r="C900" t="s">
        <v>34</v>
      </c>
      <c r="D900" t="s">
        <v>29</v>
      </c>
      <c r="E900" t="s">
        <v>66</v>
      </c>
      <c r="F900" t="s">
        <v>67</v>
      </c>
      <c r="G900">
        <v>1</v>
      </c>
      <c r="H900" s="1">
        <v>7.99</v>
      </c>
      <c r="I900" s="1">
        <v>7.99</v>
      </c>
      <c r="J900">
        <v>4</v>
      </c>
      <c r="K900" t="str">
        <f>TEXT(tbl_RawSales[[#This Row],[Order Date]],"mmm")</f>
        <v>Jan</v>
      </c>
      <c r="L900">
        <f>MONTH(tbl_RawSales[[#This Row],[Order Date]])</f>
        <v>1</v>
      </c>
      <c r="M900" t="str">
        <f>TEXT(tbl_RawSales[[#This Row],[Order Date]],"ddd")</f>
        <v>Sun</v>
      </c>
      <c r="N900">
        <f>WEEKDAY(tbl_RawSales[[#This Row],[Order Date]],2)</f>
        <v>7</v>
      </c>
    </row>
    <row r="901" spans="1:14" x14ac:dyDescent="0.25">
      <c r="A901" t="s">
        <v>951</v>
      </c>
      <c r="B901" s="20">
        <v>45320</v>
      </c>
      <c r="C901" t="s">
        <v>32</v>
      </c>
      <c r="D901" t="s">
        <v>17</v>
      </c>
      <c r="E901" t="s">
        <v>18</v>
      </c>
      <c r="F901" t="s">
        <v>19</v>
      </c>
      <c r="G901">
        <v>3</v>
      </c>
      <c r="H901" s="1">
        <v>9.99</v>
      </c>
      <c r="I901" s="1">
        <v>29.97</v>
      </c>
      <c r="J901">
        <v>4</v>
      </c>
      <c r="K901" t="str">
        <f>TEXT(tbl_RawSales[[#This Row],[Order Date]],"mmm")</f>
        <v>Jan</v>
      </c>
      <c r="L901">
        <f>MONTH(tbl_RawSales[[#This Row],[Order Date]])</f>
        <v>1</v>
      </c>
      <c r="M901" t="str">
        <f>TEXT(tbl_RawSales[[#This Row],[Order Date]],"ddd")</f>
        <v>Mon</v>
      </c>
      <c r="N901">
        <f>WEEKDAY(tbl_RawSales[[#This Row],[Order Date]],2)</f>
        <v>1</v>
      </c>
    </row>
    <row r="902" spans="1:14" x14ac:dyDescent="0.25">
      <c r="A902" t="s">
        <v>952</v>
      </c>
      <c r="B902" s="20">
        <v>45332</v>
      </c>
      <c r="C902" t="s">
        <v>32</v>
      </c>
      <c r="D902" t="s">
        <v>29</v>
      </c>
      <c r="E902" t="s">
        <v>50</v>
      </c>
      <c r="F902" t="s">
        <v>14</v>
      </c>
      <c r="G902">
        <v>1</v>
      </c>
      <c r="H902" s="1">
        <v>22.99</v>
      </c>
      <c r="I902" s="1">
        <v>22.99</v>
      </c>
      <c r="J902">
        <v>3</v>
      </c>
      <c r="K902" t="str">
        <f>TEXT(tbl_RawSales[[#This Row],[Order Date]],"mmm")</f>
        <v>Feb</v>
      </c>
      <c r="L902">
        <f>MONTH(tbl_RawSales[[#This Row],[Order Date]])</f>
        <v>2</v>
      </c>
      <c r="M902" t="str">
        <f>TEXT(tbl_RawSales[[#This Row],[Order Date]],"ddd")</f>
        <v>Sat</v>
      </c>
      <c r="N902">
        <f>WEEKDAY(tbl_RawSales[[#This Row],[Order Date]],2)</f>
        <v>6</v>
      </c>
    </row>
    <row r="903" spans="1:14" x14ac:dyDescent="0.25">
      <c r="A903" t="s">
        <v>953</v>
      </c>
      <c r="B903" s="20">
        <v>45530</v>
      </c>
      <c r="C903" t="s">
        <v>25</v>
      </c>
      <c r="D903" t="s">
        <v>17</v>
      </c>
      <c r="E903" t="s">
        <v>69</v>
      </c>
      <c r="F903" t="s">
        <v>67</v>
      </c>
      <c r="G903">
        <v>2</v>
      </c>
      <c r="H903" s="1">
        <v>8.99</v>
      </c>
      <c r="I903" s="1">
        <v>17.98</v>
      </c>
      <c r="J903">
        <v>5</v>
      </c>
      <c r="K903" t="str">
        <f>TEXT(tbl_RawSales[[#This Row],[Order Date]],"mmm")</f>
        <v>Aug</v>
      </c>
      <c r="L903">
        <f>MONTH(tbl_RawSales[[#This Row],[Order Date]])</f>
        <v>8</v>
      </c>
      <c r="M903" t="str">
        <f>TEXT(tbl_RawSales[[#This Row],[Order Date]],"ddd")</f>
        <v>Mon</v>
      </c>
      <c r="N903">
        <f>WEEKDAY(tbl_RawSales[[#This Row],[Order Date]],2)</f>
        <v>1</v>
      </c>
    </row>
    <row r="904" spans="1:14" x14ac:dyDescent="0.25">
      <c r="A904" t="s">
        <v>954</v>
      </c>
      <c r="B904" s="20">
        <v>45870</v>
      </c>
      <c r="C904" t="s">
        <v>97</v>
      </c>
      <c r="D904" t="s">
        <v>17</v>
      </c>
      <c r="E904" t="s">
        <v>83</v>
      </c>
      <c r="F904" t="s">
        <v>14</v>
      </c>
      <c r="G904">
        <v>1</v>
      </c>
      <c r="H904" s="1">
        <v>17.989999999999998</v>
      </c>
      <c r="I904" s="1">
        <v>17.989999999999998</v>
      </c>
      <c r="J904">
        <v>2</v>
      </c>
      <c r="K904" t="str">
        <f>TEXT(tbl_RawSales[[#This Row],[Order Date]],"mmm")</f>
        <v>Aug</v>
      </c>
      <c r="L904">
        <f>MONTH(tbl_RawSales[[#This Row],[Order Date]])</f>
        <v>8</v>
      </c>
      <c r="M904" t="str">
        <f>TEXT(tbl_RawSales[[#This Row],[Order Date]],"ddd")</f>
        <v>Fri</v>
      </c>
      <c r="N904">
        <f>WEEKDAY(tbl_RawSales[[#This Row],[Order Date]],2)</f>
        <v>5</v>
      </c>
    </row>
    <row r="905" spans="1:14" x14ac:dyDescent="0.25">
      <c r="A905" t="s">
        <v>955</v>
      </c>
      <c r="B905" s="20">
        <v>45310</v>
      </c>
      <c r="C905" t="s">
        <v>21</v>
      </c>
      <c r="D905" t="s">
        <v>29</v>
      </c>
      <c r="E905" t="s">
        <v>22</v>
      </c>
      <c r="F905" t="s">
        <v>23</v>
      </c>
      <c r="G905">
        <v>2</v>
      </c>
      <c r="H905" s="1">
        <v>8.99</v>
      </c>
      <c r="I905" s="1">
        <v>17.98</v>
      </c>
      <c r="J905">
        <v>3</v>
      </c>
      <c r="K905" t="str">
        <f>TEXT(tbl_RawSales[[#This Row],[Order Date]],"mmm")</f>
        <v>Jan</v>
      </c>
      <c r="L905">
        <f>MONTH(tbl_RawSales[[#This Row],[Order Date]])</f>
        <v>1</v>
      </c>
      <c r="M905" t="str">
        <f>TEXT(tbl_RawSales[[#This Row],[Order Date]],"ddd")</f>
        <v>Fri</v>
      </c>
      <c r="N905">
        <f>WEEKDAY(tbl_RawSales[[#This Row],[Order Date]],2)</f>
        <v>5</v>
      </c>
    </row>
    <row r="906" spans="1:14" x14ac:dyDescent="0.25">
      <c r="A906" t="s">
        <v>956</v>
      </c>
      <c r="B906" s="20">
        <v>45395</v>
      </c>
      <c r="C906" t="s">
        <v>45</v>
      </c>
      <c r="D906" t="s">
        <v>29</v>
      </c>
      <c r="E906" t="s">
        <v>36</v>
      </c>
      <c r="F906" t="s">
        <v>14</v>
      </c>
      <c r="G906">
        <v>1</v>
      </c>
      <c r="H906" s="1">
        <v>16.989999999999998</v>
      </c>
      <c r="I906" s="1">
        <v>16.989999999999998</v>
      </c>
      <c r="J906">
        <v>4</v>
      </c>
      <c r="K906" t="str">
        <f>TEXT(tbl_RawSales[[#This Row],[Order Date]],"mmm")</f>
        <v>Apr</v>
      </c>
      <c r="L906">
        <f>MONTH(tbl_RawSales[[#This Row],[Order Date]])</f>
        <v>4</v>
      </c>
      <c r="M906" t="str">
        <f>TEXT(tbl_RawSales[[#This Row],[Order Date]],"ddd")</f>
        <v>Sat</v>
      </c>
      <c r="N906">
        <f>WEEKDAY(tbl_RawSales[[#This Row],[Order Date]],2)</f>
        <v>6</v>
      </c>
    </row>
    <row r="907" spans="1:14" x14ac:dyDescent="0.25">
      <c r="A907" t="s">
        <v>957</v>
      </c>
      <c r="B907" s="20">
        <v>45310</v>
      </c>
      <c r="C907" t="s">
        <v>11</v>
      </c>
      <c r="D907" t="s">
        <v>17</v>
      </c>
      <c r="E907" t="s">
        <v>46</v>
      </c>
      <c r="F907" t="s">
        <v>14</v>
      </c>
      <c r="G907">
        <v>2</v>
      </c>
      <c r="H907" s="1">
        <v>32.99</v>
      </c>
      <c r="I907" s="1">
        <v>65.98</v>
      </c>
      <c r="J907">
        <v>5</v>
      </c>
      <c r="K907" t="str">
        <f>TEXT(tbl_RawSales[[#This Row],[Order Date]],"mmm")</f>
        <v>Jan</v>
      </c>
      <c r="L907">
        <f>MONTH(tbl_RawSales[[#This Row],[Order Date]])</f>
        <v>1</v>
      </c>
      <c r="M907" t="str">
        <f>TEXT(tbl_RawSales[[#This Row],[Order Date]],"ddd")</f>
        <v>Fri</v>
      </c>
      <c r="N907">
        <f>WEEKDAY(tbl_RawSales[[#This Row],[Order Date]],2)</f>
        <v>5</v>
      </c>
    </row>
    <row r="908" spans="1:14" x14ac:dyDescent="0.25">
      <c r="A908" t="s">
        <v>958</v>
      </c>
      <c r="B908" s="20">
        <v>45955</v>
      </c>
      <c r="C908" t="s">
        <v>32</v>
      </c>
      <c r="D908" t="s">
        <v>17</v>
      </c>
      <c r="E908" t="s">
        <v>57</v>
      </c>
      <c r="F908" t="s">
        <v>14</v>
      </c>
      <c r="G908">
        <v>3</v>
      </c>
      <c r="H908" s="1">
        <v>15.99</v>
      </c>
      <c r="I908" s="1">
        <v>47.97</v>
      </c>
      <c r="J908">
        <v>2</v>
      </c>
      <c r="K908" t="str">
        <f>TEXT(tbl_RawSales[[#This Row],[Order Date]],"mmm")</f>
        <v>Oct</v>
      </c>
      <c r="L908">
        <f>MONTH(tbl_RawSales[[#This Row],[Order Date]])</f>
        <v>10</v>
      </c>
      <c r="M908" t="str">
        <f>TEXT(tbl_RawSales[[#This Row],[Order Date]],"ddd")</f>
        <v>Sat</v>
      </c>
      <c r="N908">
        <f>WEEKDAY(tbl_RawSales[[#This Row],[Order Date]],2)</f>
        <v>6</v>
      </c>
    </row>
    <row r="909" spans="1:14" x14ac:dyDescent="0.25">
      <c r="A909" t="s">
        <v>959</v>
      </c>
      <c r="B909" s="20">
        <v>45863</v>
      </c>
      <c r="C909" t="s">
        <v>32</v>
      </c>
      <c r="D909" t="s">
        <v>29</v>
      </c>
      <c r="E909" t="s">
        <v>46</v>
      </c>
      <c r="F909" t="s">
        <v>14</v>
      </c>
      <c r="G909">
        <v>1</v>
      </c>
      <c r="H909" s="1">
        <v>32.99</v>
      </c>
      <c r="I909" s="1">
        <v>32.99</v>
      </c>
      <c r="J909">
        <v>4</v>
      </c>
      <c r="K909" t="str">
        <f>TEXT(tbl_RawSales[[#This Row],[Order Date]],"mmm")</f>
        <v>Jul</v>
      </c>
      <c r="L909">
        <f>MONTH(tbl_RawSales[[#This Row],[Order Date]])</f>
        <v>7</v>
      </c>
      <c r="M909" t="str">
        <f>TEXT(tbl_RawSales[[#This Row],[Order Date]],"ddd")</f>
        <v>Fri</v>
      </c>
      <c r="N909">
        <f>WEEKDAY(tbl_RawSales[[#This Row],[Order Date]],2)</f>
        <v>5</v>
      </c>
    </row>
    <row r="910" spans="1:14" x14ac:dyDescent="0.25">
      <c r="A910" t="s">
        <v>960</v>
      </c>
      <c r="B910" s="20">
        <v>45718</v>
      </c>
      <c r="C910" t="s">
        <v>32</v>
      </c>
      <c r="D910" t="s">
        <v>12</v>
      </c>
      <c r="E910" t="s">
        <v>30</v>
      </c>
      <c r="F910" t="s">
        <v>19</v>
      </c>
      <c r="G910">
        <v>3</v>
      </c>
      <c r="H910" s="1">
        <v>7.99</v>
      </c>
      <c r="I910" s="1">
        <v>23.97</v>
      </c>
      <c r="J910">
        <v>4</v>
      </c>
      <c r="K910" t="str">
        <f>TEXT(tbl_RawSales[[#This Row],[Order Date]],"mmm")</f>
        <v>Mar</v>
      </c>
      <c r="L910">
        <f>MONTH(tbl_RawSales[[#This Row],[Order Date]])</f>
        <v>3</v>
      </c>
      <c r="M910" t="str">
        <f>TEXT(tbl_RawSales[[#This Row],[Order Date]],"ddd")</f>
        <v>Sun</v>
      </c>
      <c r="N910">
        <f>WEEKDAY(tbl_RawSales[[#This Row],[Order Date]],2)</f>
        <v>7</v>
      </c>
    </row>
    <row r="911" spans="1:14" x14ac:dyDescent="0.25">
      <c r="A911" t="s">
        <v>961</v>
      </c>
      <c r="B911" s="20">
        <v>46002</v>
      </c>
      <c r="C911" t="s">
        <v>32</v>
      </c>
      <c r="D911" t="s">
        <v>12</v>
      </c>
      <c r="E911" t="s">
        <v>79</v>
      </c>
      <c r="F911" t="s">
        <v>67</v>
      </c>
      <c r="G911">
        <v>1</v>
      </c>
      <c r="H911" s="1">
        <v>10.99</v>
      </c>
      <c r="I911" s="1">
        <v>10.99</v>
      </c>
      <c r="J911">
        <v>3</v>
      </c>
      <c r="K911" t="str">
        <f>TEXT(tbl_RawSales[[#This Row],[Order Date]],"mmm")</f>
        <v>Dec</v>
      </c>
      <c r="L911">
        <f>MONTH(tbl_RawSales[[#This Row],[Order Date]])</f>
        <v>12</v>
      </c>
      <c r="M911" t="str">
        <f>TEXT(tbl_RawSales[[#This Row],[Order Date]],"ddd")</f>
        <v>Thu</v>
      </c>
      <c r="N911">
        <f>WEEKDAY(tbl_RawSales[[#This Row],[Order Date]],2)</f>
        <v>4</v>
      </c>
    </row>
    <row r="912" spans="1:14" x14ac:dyDescent="0.25">
      <c r="A912" t="s">
        <v>962</v>
      </c>
      <c r="B912" s="20">
        <v>45515</v>
      </c>
      <c r="C912" t="s">
        <v>45</v>
      </c>
      <c r="D912" t="s">
        <v>12</v>
      </c>
      <c r="E912" t="s">
        <v>142</v>
      </c>
      <c r="F912" t="s">
        <v>23</v>
      </c>
      <c r="G912">
        <v>1</v>
      </c>
      <c r="H912" s="1">
        <v>14.99</v>
      </c>
      <c r="I912" s="1">
        <v>14.99</v>
      </c>
      <c r="J912">
        <v>1</v>
      </c>
      <c r="K912" t="str">
        <f>TEXT(tbl_RawSales[[#This Row],[Order Date]],"mmm")</f>
        <v>Aug</v>
      </c>
      <c r="L912">
        <f>MONTH(tbl_RawSales[[#This Row],[Order Date]])</f>
        <v>8</v>
      </c>
      <c r="M912" t="str">
        <f>TEXT(tbl_RawSales[[#This Row],[Order Date]],"ddd")</f>
        <v>Sun</v>
      </c>
      <c r="N912">
        <f>WEEKDAY(tbl_RawSales[[#This Row],[Order Date]],2)</f>
        <v>7</v>
      </c>
    </row>
    <row r="913" spans="1:14" x14ac:dyDescent="0.25">
      <c r="A913" t="s">
        <v>963</v>
      </c>
      <c r="B913" s="20">
        <v>45429</v>
      </c>
      <c r="C913" t="s">
        <v>97</v>
      </c>
      <c r="D913" t="s">
        <v>17</v>
      </c>
      <c r="E913" t="s">
        <v>62</v>
      </c>
      <c r="F913" t="s">
        <v>23</v>
      </c>
      <c r="G913">
        <v>1</v>
      </c>
      <c r="H913" s="1">
        <v>9.99</v>
      </c>
      <c r="I913" s="1">
        <v>9.99</v>
      </c>
      <c r="J913">
        <v>2</v>
      </c>
      <c r="K913" t="str">
        <f>TEXT(tbl_RawSales[[#This Row],[Order Date]],"mmm")</f>
        <v>May</v>
      </c>
      <c r="L913">
        <f>MONTH(tbl_RawSales[[#This Row],[Order Date]])</f>
        <v>5</v>
      </c>
      <c r="M913" t="str">
        <f>TEXT(tbl_RawSales[[#This Row],[Order Date]],"ddd")</f>
        <v>Fri</v>
      </c>
      <c r="N913">
        <f>WEEKDAY(tbl_RawSales[[#This Row],[Order Date]],2)</f>
        <v>5</v>
      </c>
    </row>
    <row r="914" spans="1:14" x14ac:dyDescent="0.25">
      <c r="A914" t="s">
        <v>964</v>
      </c>
      <c r="B914" s="20">
        <v>45959</v>
      </c>
      <c r="C914" t="s">
        <v>11</v>
      </c>
      <c r="D914" t="s">
        <v>29</v>
      </c>
      <c r="E914" t="s">
        <v>13</v>
      </c>
      <c r="F914" t="s">
        <v>14</v>
      </c>
      <c r="G914">
        <v>2</v>
      </c>
      <c r="H914" s="1">
        <v>18.989999999999998</v>
      </c>
      <c r="I914" s="1">
        <v>37.979999999999997</v>
      </c>
      <c r="J914">
        <v>5</v>
      </c>
      <c r="K914" t="str">
        <f>TEXT(tbl_RawSales[[#This Row],[Order Date]],"mmm")</f>
        <v>Oct</v>
      </c>
      <c r="L914">
        <f>MONTH(tbl_RawSales[[#This Row],[Order Date]])</f>
        <v>10</v>
      </c>
      <c r="M914" t="str">
        <f>TEXT(tbl_RawSales[[#This Row],[Order Date]],"ddd")</f>
        <v>Wed</v>
      </c>
      <c r="N914">
        <f>WEEKDAY(tbl_RawSales[[#This Row],[Order Date]],2)</f>
        <v>3</v>
      </c>
    </row>
    <row r="915" spans="1:14" x14ac:dyDescent="0.25">
      <c r="A915" t="s">
        <v>965</v>
      </c>
      <c r="B915" s="20">
        <v>45482</v>
      </c>
      <c r="C915" t="s">
        <v>11</v>
      </c>
      <c r="D915" t="s">
        <v>29</v>
      </c>
      <c r="E915" t="s">
        <v>50</v>
      </c>
      <c r="F915" t="s">
        <v>14</v>
      </c>
      <c r="G915">
        <v>3</v>
      </c>
      <c r="H915" s="1">
        <v>22.99</v>
      </c>
      <c r="I915" s="1">
        <v>68.97</v>
      </c>
      <c r="J915">
        <v>4</v>
      </c>
      <c r="K915" t="str">
        <f>TEXT(tbl_RawSales[[#This Row],[Order Date]],"mmm")</f>
        <v>Jul</v>
      </c>
      <c r="L915">
        <f>MONTH(tbl_RawSales[[#This Row],[Order Date]])</f>
        <v>7</v>
      </c>
      <c r="M915" t="str">
        <f>TEXT(tbl_RawSales[[#This Row],[Order Date]],"ddd")</f>
        <v>Tue</v>
      </c>
      <c r="N915">
        <f>WEEKDAY(tbl_RawSales[[#This Row],[Order Date]],2)</f>
        <v>2</v>
      </c>
    </row>
    <row r="916" spans="1:14" x14ac:dyDescent="0.25">
      <c r="A916" t="s">
        <v>966</v>
      </c>
      <c r="B916" s="20">
        <v>45562</v>
      </c>
      <c r="C916" t="s">
        <v>11</v>
      </c>
      <c r="D916" t="s">
        <v>17</v>
      </c>
      <c r="E916" t="s">
        <v>13</v>
      </c>
      <c r="F916" t="s">
        <v>14</v>
      </c>
      <c r="G916">
        <v>1</v>
      </c>
      <c r="H916" s="1">
        <v>18.989999999999998</v>
      </c>
      <c r="I916" s="1">
        <v>18.989999999999998</v>
      </c>
      <c r="J916">
        <v>2</v>
      </c>
      <c r="K916" t="str">
        <f>TEXT(tbl_RawSales[[#This Row],[Order Date]],"mmm")</f>
        <v>Sept</v>
      </c>
      <c r="L916">
        <f>MONTH(tbl_RawSales[[#This Row],[Order Date]])</f>
        <v>9</v>
      </c>
      <c r="M916" t="str">
        <f>TEXT(tbl_RawSales[[#This Row],[Order Date]],"ddd")</f>
        <v>Fri</v>
      </c>
      <c r="N916">
        <f>WEEKDAY(tbl_RawSales[[#This Row],[Order Date]],2)</f>
        <v>5</v>
      </c>
    </row>
    <row r="917" spans="1:14" x14ac:dyDescent="0.25">
      <c r="A917" t="s">
        <v>967</v>
      </c>
      <c r="B917" s="20">
        <v>45539</v>
      </c>
      <c r="C917" t="s">
        <v>45</v>
      </c>
      <c r="D917" t="s">
        <v>29</v>
      </c>
      <c r="E917" t="s">
        <v>176</v>
      </c>
      <c r="F917" t="s">
        <v>67</v>
      </c>
      <c r="G917">
        <v>4</v>
      </c>
      <c r="H917" s="1">
        <v>11.99</v>
      </c>
      <c r="I917" s="1">
        <v>47.96</v>
      </c>
      <c r="J917">
        <v>3</v>
      </c>
      <c r="K917" t="str">
        <f>TEXT(tbl_RawSales[[#This Row],[Order Date]],"mmm")</f>
        <v>Sept</v>
      </c>
      <c r="L917">
        <f>MONTH(tbl_RawSales[[#This Row],[Order Date]])</f>
        <v>9</v>
      </c>
      <c r="M917" t="str">
        <f>TEXT(tbl_RawSales[[#This Row],[Order Date]],"ddd")</f>
        <v>Wed</v>
      </c>
      <c r="N917">
        <f>WEEKDAY(tbl_RawSales[[#This Row],[Order Date]],2)</f>
        <v>3</v>
      </c>
    </row>
    <row r="918" spans="1:14" x14ac:dyDescent="0.25">
      <c r="A918" t="s">
        <v>968</v>
      </c>
      <c r="B918" s="20">
        <v>45775</v>
      </c>
      <c r="C918" t="s">
        <v>38</v>
      </c>
      <c r="D918" t="s">
        <v>12</v>
      </c>
      <c r="E918" t="s">
        <v>50</v>
      </c>
      <c r="F918" t="s">
        <v>14</v>
      </c>
      <c r="G918">
        <v>3</v>
      </c>
      <c r="H918" s="1">
        <v>22.99</v>
      </c>
      <c r="I918" s="1">
        <v>68.97</v>
      </c>
      <c r="J918">
        <v>4</v>
      </c>
      <c r="K918" t="str">
        <f>TEXT(tbl_RawSales[[#This Row],[Order Date]],"mmm")</f>
        <v>Apr</v>
      </c>
      <c r="L918">
        <f>MONTH(tbl_RawSales[[#This Row],[Order Date]])</f>
        <v>4</v>
      </c>
      <c r="M918" t="str">
        <f>TEXT(tbl_RawSales[[#This Row],[Order Date]],"ddd")</f>
        <v>Mon</v>
      </c>
      <c r="N918">
        <f>WEEKDAY(tbl_RawSales[[#This Row],[Order Date]],2)</f>
        <v>1</v>
      </c>
    </row>
    <row r="919" spans="1:14" x14ac:dyDescent="0.25">
      <c r="A919" t="s">
        <v>969</v>
      </c>
      <c r="B919" s="20">
        <v>45641</v>
      </c>
      <c r="C919" t="s">
        <v>25</v>
      </c>
      <c r="D919" t="s">
        <v>29</v>
      </c>
      <c r="E919" t="s">
        <v>39</v>
      </c>
      <c r="F919" t="s">
        <v>14</v>
      </c>
      <c r="G919">
        <v>1</v>
      </c>
      <c r="H919" s="1">
        <v>24.99</v>
      </c>
      <c r="I919" s="1">
        <v>24.99</v>
      </c>
      <c r="J919">
        <v>4</v>
      </c>
      <c r="K919" t="str">
        <f>TEXT(tbl_RawSales[[#This Row],[Order Date]],"mmm")</f>
        <v>Dec</v>
      </c>
      <c r="L919">
        <f>MONTH(tbl_RawSales[[#This Row],[Order Date]])</f>
        <v>12</v>
      </c>
      <c r="M919" t="str">
        <f>TEXT(tbl_RawSales[[#This Row],[Order Date]],"ddd")</f>
        <v>Sun</v>
      </c>
      <c r="N919">
        <f>WEEKDAY(tbl_RawSales[[#This Row],[Order Date]],2)</f>
        <v>7</v>
      </c>
    </row>
    <row r="920" spans="1:14" x14ac:dyDescent="0.25">
      <c r="A920" t="s">
        <v>970</v>
      </c>
      <c r="B920" s="20">
        <v>45989</v>
      </c>
      <c r="C920" t="s">
        <v>28</v>
      </c>
      <c r="D920" t="s">
        <v>29</v>
      </c>
      <c r="E920" t="s">
        <v>83</v>
      </c>
      <c r="F920" t="s">
        <v>14</v>
      </c>
      <c r="G920">
        <v>3</v>
      </c>
      <c r="H920" s="1">
        <v>17.989999999999998</v>
      </c>
      <c r="I920" s="1">
        <v>53.97</v>
      </c>
      <c r="J920">
        <v>4</v>
      </c>
      <c r="K920" t="str">
        <f>TEXT(tbl_RawSales[[#This Row],[Order Date]],"mmm")</f>
        <v>Nov</v>
      </c>
      <c r="L920">
        <f>MONTH(tbl_RawSales[[#This Row],[Order Date]])</f>
        <v>11</v>
      </c>
      <c r="M920" t="str">
        <f>TEXT(tbl_RawSales[[#This Row],[Order Date]],"ddd")</f>
        <v>Fri</v>
      </c>
      <c r="N920">
        <f>WEEKDAY(tbl_RawSales[[#This Row],[Order Date]],2)</f>
        <v>5</v>
      </c>
    </row>
    <row r="921" spans="1:14" x14ac:dyDescent="0.25">
      <c r="A921" t="s">
        <v>971</v>
      </c>
      <c r="B921" s="20">
        <v>45616</v>
      </c>
      <c r="C921" t="s">
        <v>45</v>
      </c>
      <c r="D921" t="s">
        <v>29</v>
      </c>
      <c r="E921" t="s">
        <v>13</v>
      </c>
      <c r="F921" t="s">
        <v>14</v>
      </c>
      <c r="G921">
        <v>1</v>
      </c>
      <c r="H921" s="1">
        <v>18.989999999999998</v>
      </c>
      <c r="I921" s="1">
        <v>18.989999999999998</v>
      </c>
      <c r="J921">
        <v>4</v>
      </c>
      <c r="K921" t="str">
        <f>TEXT(tbl_RawSales[[#This Row],[Order Date]],"mmm")</f>
        <v>Nov</v>
      </c>
      <c r="L921">
        <f>MONTH(tbl_RawSales[[#This Row],[Order Date]])</f>
        <v>11</v>
      </c>
      <c r="M921" t="str">
        <f>TEXT(tbl_RawSales[[#This Row],[Order Date]],"ddd")</f>
        <v>Wed</v>
      </c>
      <c r="N921">
        <f>WEEKDAY(tbl_RawSales[[#This Row],[Order Date]],2)</f>
        <v>3</v>
      </c>
    </row>
    <row r="922" spans="1:14" x14ac:dyDescent="0.25">
      <c r="A922" t="s">
        <v>972</v>
      </c>
      <c r="B922" s="20">
        <v>45305</v>
      </c>
      <c r="C922" t="s">
        <v>28</v>
      </c>
      <c r="D922" t="s">
        <v>17</v>
      </c>
      <c r="E922" t="s">
        <v>50</v>
      </c>
      <c r="F922" t="s">
        <v>14</v>
      </c>
      <c r="G922">
        <v>1</v>
      </c>
      <c r="H922" s="1">
        <v>22.99</v>
      </c>
      <c r="I922" s="1">
        <v>22.99</v>
      </c>
      <c r="J922">
        <v>3</v>
      </c>
      <c r="K922" t="str">
        <f>TEXT(tbl_RawSales[[#This Row],[Order Date]],"mmm")</f>
        <v>Jan</v>
      </c>
      <c r="L922">
        <f>MONTH(tbl_RawSales[[#This Row],[Order Date]])</f>
        <v>1</v>
      </c>
      <c r="M922" t="str">
        <f>TEXT(tbl_RawSales[[#This Row],[Order Date]],"ddd")</f>
        <v>Sun</v>
      </c>
      <c r="N922">
        <f>WEEKDAY(tbl_RawSales[[#This Row],[Order Date]],2)</f>
        <v>7</v>
      </c>
    </row>
    <row r="923" spans="1:14" x14ac:dyDescent="0.25">
      <c r="A923" t="s">
        <v>973</v>
      </c>
      <c r="B923" s="20">
        <v>45904</v>
      </c>
      <c r="C923" t="s">
        <v>16</v>
      </c>
      <c r="D923" t="s">
        <v>12</v>
      </c>
      <c r="E923" t="s">
        <v>142</v>
      </c>
      <c r="F923" t="s">
        <v>23</v>
      </c>
      <c r="G923">
        <v>1</v>
      </c>
      <c r="H923" s="1">
        <v>14.99</v>
      </c>
      <c r="I923" s="1">
        <v>14.99</v>
      </c>
      <c r="J923">
        <v>4</v>
      </c>
      <c r="K923" t="str">
        <f>TEXT(tbl_RawSales[[#This Row],[Order Date]],"mmm")</f>
        <v>Sept</v>
      </c>
      <c r="L923">
        <f>MONTH(tbl_RawSales[[#This Row],[Order Date]])</f>
        <v>9</v>
      </c>
      <c r="M923" t="str">
        <f>TEXT(tbl_RawSales[[#This Row],[Order Date]],"ddd")</f>
        <v>Thu</v>
      </c>
      <c r="N923">
        <f>WEEKDAY(tbl_RawSales[[#This Row],[Order Date]],2)</f>
        <v>4</v>
      </c>
    </row>
    <row r="924" spans="1:14" x14ac:dyDescent="0.25">
      <c r="A924" t="s">
        <v>974</v>
      </c>
      <c r="B924" s="20">
        <v>45492</v>
      </c>
      <c r="C924" t="s">
        <v>25</v>
      </c>
      <c r="D924" t="s">
        <v>12</v>
      </c>
      <c r="E924" t="s">
        <v>83</v>
      </c>
      <c r="F924" t="s">
        <v>14</v>
      </c>
      <c r="G924">
        <v>1</v>
      </c>
      <c r="H924" s="1">
        <v>17.989999999999998</v>
      </c>
      <c r="I924" s="1">
        <v>17.989999999999998</v>
      </c>
      <c r="J924">
        <v>1</v>
      </c>
      <c r="K924" t="str">
        <f>TEXT(tbl_RawSales[[#This Row],[Order Date]],"mmm")</f>
        <v>Jul</v>
      </c>
      <c r="L924">
        <f>MONTH(tbl_RawSales[[#This Row],[Order Date]])</f>
        <v>7</v>
      </c>
      <c r="M924" t="str">
        <f>TEXT(tbl_RawSales[[#This Row],[Order Date]],"ddd")</f>
        <v>Fri</v>
      </c>
      <c r="N924">
        <f>WEEKDAY(tbl_RawSales[[#This Row],[Order Date]],2)</f>
        <v>5</v>
      </c>
    </row>
    <row r="925" spans="1:14" x14ac:dyDescent="0.25">
      <c r="A925" t="s">
        <v>975</v>
      </c>
      <c r="B925" s="20">
        <v>45583</v>
      </c>
      <c r="C925" t="s">
        <v>21</v>
      </c>
      <c r="D925" t="s">
        <v>12</v>
      </c>
      <c r="E925" t="s">
        <v>46</v>
      </c>
      <c r="F925" t="s">
        <v>14</v>
      </c>
      <c r="G925">
        <v>2</v>
      </c>
      <c r="H925" s="1">
        <v>32.99</v>
      </c>
      <c r="I925" s="1">
        <v>65.98</v>
      </c>
      <c r="J925">
        <v>2</v>
      </c>
      <c r="K925" t="str">
        <f>TEXT(tbl_RawSales[[#This Row],[Order Date]],"mmm")</f>
        <v>Oct</v>
      </c>
      <c r="L925">
        <f>MONTH(tbl_RawSales[[#This Row],[Order Date]])</f>
        <v>10</v>
      </c>
      <c r="M925" t="str">
        <f>TEXT(tbl_RawSales[[#This Row],[Order Date]],"ddd")</f>
        <v>Fri</v>
      </c>
      <c r="N925">
        <f>WEEKDAY(tbl_RawSales[[#This Row],[Order Date]],2)</f>
        <v>5</v>
      </c>
    </row>
    <row r="926" spans="1:14" x14ac:dyDescent="0.25">
      <c r="A926" t="s">
        <v>976</v>
      </c>
      <c r="B926" s="20">
        <v>45933</v>
      </c>
      <c r="C926" t="s">
        <v>16</v>
      </c>
      <c r="D926" t="s">
        <v>17</v>
      </c>
      <c r="E926" t="s">
        <v>69</v>
      </c>
      <c r="F926" t="s">
        <v>67</v>
      </c>
      <c r="G926">
        <v>2</v>
      </c>
      <c r="H926" s="1">
        <v>8.99</v>
      </c>
      <c r="I926" s="1">
        <v>17.98</v>
      </c>
      <c r="J926">
        <v>4</v>
      </c>
      <c r="K926" t="str">
        <f>TEXT(tbl_RawSales[[#This Row],[Order Date]],"mmm")</f>
        <v>Oct</v>
      </c>
      <c r="L926">
        <f>MONTH(tbl_RawSales[[#This Row],[Order Date]])</f>
        <v>10</v>
      </c>
      <c r="M926" t="str">
        <f>TEXT(tbl_RawSales[[#This Row],[Order Date]],"ddd")</f>
        <v>Fri</v>
      </c>
      <c r="N926">
        <f>WEEKDAY(tbl_RawSales[[#This Row],[Order Date]],2)</f>
        <v>5</v>
      </c>
    </row>
    <row r="927" spans="1:14" x14ac:dyDescent="0.25">
      <c r="A927" t="s">
        <v>977</v>
      </c>
      <c r="B927" s="20">
        <v>45760</v>
      </c>
      <c r="C927" t="s">
        <v>32</v>
      </c>
      <c r="D927" t="s">
        <v>29</v>
      </c>
      <c r="E927" t="s">
        <v>22</v>
      </c>
      <c r="F927" t="s">
        <v>23</v>
      </c>
      <c r="G927">
        <v>1</v>
      </c>
      <c r="H927" s="1">
        <v>8.99</v>
      </c>
      <c r="I927" s="1">
        <v>8.99</v>
      </c>
      <c r="J927">
        <v>5</v>
      </c>
      <c r="K927" t="str">
        <f>TEXT(tbl_RawSales[[#This Row],[Order Date]],"mmm")</f>
        <v>Apr</v>
      </c>
      <c r="L927">
        <f>MONTH(tbl_RawSales[[#This Row],[Order Date]])</f>
        <v>4</v>
      </c>
      <c r="M927" t="str">
        <f>TEXT(tbl_RawSales[[#This Row],[Order Date]],"ddd")</f>
        <v>Sun</v>
      </c>
      <c r="N927">
        <f>WEEKDAY(tbl_RawSales[[#This Row],[Order Date]],2)</f>
        <v>7</v>
      </c>
    </row>
    <row r="928" spans="1:14" x14ac:dyDescent="0.25">
      <c r="A928" t="s">
        <v>978</v>
      </c>
      <c r="B928" s="20">
        <v>45742</v>
      </c>
      <c r="C928" t="s">
        <v>21</v>
      </c>
      <c r="D928" t="s">
        <v>17</v>
      </c>
      <c r="E928" t="s">
        <v>13</v>
      </c>
      <c r="F928" t="s">
        <v>14</v>
      </c>
      <c r="G928">
        <v>2</v>
      </c>
      <c r="H928" s="1">
        <v>18.989999999999998</v>
      </c>
      <c r="I928" s="1">
        <v>37.979999999999997</v>
      </c>
      <c r="J928">
        <v>3</v>
      </c>
      <c r="K928" t="str">
        <f>TEXT(tbl_RawSales[[#This Row],[Order Date]],"mmm")</f>
        <v>Mar</v>
      </c>
      <c r="L928">
        <f>MONTH(tbl_RawSales[[#This Row],[Order Date]])</f>
        <v>3</v>
      </c>
      <c r="M928" t="str">
        <f>TEXT(tbl_RawSales[[#This Row],[Order Date]],"ddd")</f>
        <v>Wed</v>
      </c>
      <c r="N928">
        <f>WEEKDAY(tbl_RawSales[[#This Row],[Order Date]],2)</f>
        <v>3</v>
      </c>
    </row>
    <row r="929" spans="1:14" x14ac:dyDescent="0.25">
      <c r="A929" t="s">
        <v>979</v>
      </c>
      <c r="B929" s="20">
        <v>45664</v>
      </c>
      <c r="C929" t="s">
        <v>28</v>
      </c>
      <c r="D929" t="s">
        <v>17</v>
      </c>
      <c r="E929" t="s">
        <v>50</v>
      </c>
      <c r="F929" t="s">
        <v>14</v>
      </c>
      <c r="G929">
        <v>1</v>
      </c>
      <c r="H929" s="1">
        <v>22.99</v>
      </c>
      <c r="I929" s="1">
        <v>22.99</v>
      </c>
      <c r="J929">
        <v>3</v>
      </c>
      <c r="K929" t="str">
        <f>TEXT(tbl_RawSales[[#This Row],[Order Date]],"mmm")</f>
        <v>Jan</v>
      </c>
      <c r="L929">
        <f>MONTH(tbl_RawSales[[#This Row],[Order Date]])</f>
        <v>1</v>
      </c>
      <c r="M929" t="str">
        <f>TEXT(tbl_RawSales[[#This Row],[Order Date]],"ddd")</f>
        <v>Tue</v>
      </c>
      <c r="N929">
        <f>WEEKDAY(tbl_RawSales[[#This Row],[Order Date]],2)</f>
        <v>2</v>
      </c>
    </row>
    <row r="930" spans="1:14" x14ac:dyDescent="0.25">
      <c r="A930" t="s">
        <v>980</v>
      </c>
      <c r="B930" s="20">
        <v>45996</v>
      </c>
      <c r="C930" t="s">
        <v>45</v>
      </c>
      <c r="D930" t="s">
        <v>12</v>
      </c>
      <c r="E930" t="s">
        <v>79</v>
      </c>
      <c r="F930" t="s">
        <v>67</v>
      </c>
      <c r="G930">
        <v>1</v>
      </c>
      <c r="H930" s="1">
        <v>10.99</v>
      </c>
      <c r="I930" s="1">
        <v>10.99</v>
      </c>
      <c r="J930">
        <v>2</v>
      </c>
      <c r="K930" t="str">
        <f>TEXT(tbl_RawSales[[#This Row],[Order Date]],"mmm")</f>
        <v>Dec</v>
      </c>
      <c r="L930">
        <f>MONTH(tbl_RawSales[[#This Row],[Order Date]])</f>
        <v>12</v>
      </c>
      <c r="M930" t="str">
        <f>TEXT(tbl_RawSales[[#This Row],[Order Date]],"ddd")</f>
        <v>Fri</v>
      </c>
      <c r="N930">
        <f>WEEKDAY(tbl_RawSales[[#This Row],[Order Date]],2)</f>
        <v>5</v>
      </c>
    </row>
    <row r="931" spans="1:14" x14ac:dyDescent="0.25">
      <c r="A931" t="s">
        <v>981</v>
      </c>
      <c r="B931" s="20">
        <v>45439</v>
      </c>
      <c r="C931" t="s">
        <v>38</v>
      </c>
      <c r="D931" t="s">
        <v>29</v>
      </c>
      <c r="E931" t="s">
        <v>52</v>
      </c>
      <c r="F931" t="s">
        <v>19</v>
      </c>
      <c r="G931">
        <v>4</v>
      </c>
      <c r="H931" s="1">
        <v>6.99</v>
      </c>
      <c r="I931" s="1">
        <v>27.96</v>
      </c>
      <c r="J931">
        <v>4</v>
      </c>
      <c r="K931" t="str">
        <f>TEXT(tbl_RawSales[[#This Row],[Order Date]],"mmm")</f>
        <v>May</v>
      </c>
      <c r="L931">
        <f>MONTH(tbl_RawSales[[#This Row],[Order Date]])</f>
        <v>5</v>
      </c>
      <c r="M931" t="str">
        <f>TEXT(tbl_RawSales[[#This Row],[Order Date]],"ddd")</f>
        <v>Mon</v>
      </c>
      <c r="N931">
        <f>WEEKDAY(tbl_RawSales[[#This Row],[Order Date]],2)</f>
        <v>1</v>
      </c>
    </row>
    <row r="932" spans="1:14" x14ac:dyDescent="0.25">
      <c r="A932" t="s">
        <v>982</v>
      </c>
      <c r="B932" s="20">
        <v>45904</v>
      </c>
      <c r="C932" t="s">
        <v>34</v>
      </c>
      <c r="D932" t="s">
        <v>29</v>
      </c>
      <c r="E932" t="s">
        <v>46</v>
      </c>
      <c r="F932" t="s">
        <v>14</v>
      </c>
      <c r="G932">
        <v>1</v>
      </c>
      <c r="H932" s="1">
        <v>32.99</v>
      </c>
      <c r="I932" s="1">
        <v>32.99</v>
      </c>
      <c r="J932">
        <v>3</v>
      </c>
      <c r="K932" t="str">
        <f>TEXT(tbl_RawSales[[#This Row],[Order Date]],"mmm")</f>
        <v>Sept</v>
      </c>
      <c r="L932">
        <f>MONTH(tbl_RawSales[[#This Row],[Order Date]])</f>
        <v>9</v>
      </c>
      <c r="M932" t="str">
        <f>TEXT(tbl_RawSales[[#This Row],[Order Date]],"ddd")</f>
        <v>Thu</v>
      </c>
      <c r="N932">
        <f>WEEKDAY(tbl_RawSales[[#This Row],[Order Date]],2)</f>
        <v>4</v>
      </c>
    </row>
    <row r="933" spans="1:14" x14ac:dyDescent="0.25">
      <c r="A933" t="s">
        <v>983</v>
      </c>
      <c r="B933" s="20">
        <v>45396</v>
      </c>
      <c r="C933" t="s">
        <v>32</v>
      </c>
      <c r="D933" t="s">
        <v>17</v>
      </c>
      <c r="E933" t="s">
        <v>55</v>
      </c>
      <c r="F933" t="s">
        <v>23</v>
      </c>
      <c r="G933">
        <v>2</v>
      </c>
      <c r="H933" s="1">
        <v>10.99</v>
      </c>
      <c r="I933" s="1">
        <v>21.98</v>
      </c>
      <c r="J933">
        <v>5</v>
      </c>
      <c r="K933" t="str">
        <f>TEXT(tbl_RawSales[[#This Row],[Order Date]],"mmm")</f>
        <v>Apr</v>
      </c>
      <c r="L933">
        <f>MONTH(tbl_RawSales[[#This Row],[Order Date]])</f>
        <v>4</v>
      </c>
      <c r="M933" t="str">
        <f>TEXT(tbl_RawSales[[#This Row],[Order Date]],"ddd")</f>
        <v>Sun</v>
      </c>
      <c r="N933">
        <f>WEEKDAY(tbl_RawSales[[#This Row],[Order Date]],2)</f>
        <v>7</v>
      </c>
    </row>
    <row r="934" spans="1:14" x14ac:dyDescent="0.25">
      <c r="A934" t="s">
        <v>984</v>
      </c>
      <c r="B934" s="20">
        <v>45717</v>
      </c>
      <c r="C934" t="s">
        <v>11</v>
      </c>
      <c r="D934" t="s">
        <v>12</v>
      </c>
      <c r="E934" t="s">
        <v>36</v>
      </c>
      <c r="F934" t="s">
        <v>14</v>
      </c>
      <c r="G934">
        <v>2</v>
      </c>
      <c r="H934" s="1">
        <v>16.989999999999998</v>
      </c>
      <c r="I934" s="1">
        <v>33.979999999999997</v>
      </c>
      <c r="J934">
        <v>2</v>
      </c>
      <c r="K934" t="str">
        <f>TEXT(tbl_RawSales[[#This Row],[Order Date]],"mmm")</f>
        <v>Mar</v>
      </c>
      <c r="L934">
        <f>MONTH(tbl_RawSales[[#This Row],[Order Date]])</f>
        <v>3</v>
      </c>
      <c r="M934" t="str">
        <f>TEXT(tbl_RawSales[[#This Row],[Order Date]],"ddd")</f>
        <v>Sat</v>
      </c>
      <c r="N934">
        <f>WEEKDAY(tbl_RawSales[[#This Row],[Order Date]],2)</f>
        <v>6</v>
      </c>
    </row>
    <row r="935" spans="1:14" x14ac:dyDescent="0.25">
      <c r="A935" t="s">
        <v>985</v>
      </c>
      <c r="B935" s="20">
        <v>45403</v>
      </c>
      <c r="C935" t="s">
        <v>32</v>
      </c>
      <c r="D935" t="s">
        <v>29</v>
      </c>
      <c r="E935" t="s">
        <v>52</v>
      </c>
      <c r="F935" t="s">
        <v>19</v>
      </c>
      <c r="G935">
        <v>1</v>
      </c>
      <c r="H935" s="1">
        <v>6.99</v>
      </c>
      <c r="I935" s="1">
        <v>6.99</v>
      </c>
      <c r="J935">
        <v>4</v>
      </c>
      <c r="K935" t="str">
        <f>TEXT(tbl_RawSales[[#This Row],[Order Date]],"mmm")</f>
        <v>Apr</v>
      </c>
      <c r="L935">
        <f>MONTH(tbl_RawSales[[#This Row],[Order Date]])</f>
        <v>4</v>
      </c>
      <c r="M935" t="str">
        <f>TEXT(tbl_RawSales[[#This Row],[Order Date]],"ddd")</f>
        <v>Sun</v>
      </c>
      <c r="N935">
        <f>WEEKDAY(tbl_RawSales[[#This Row],[Order Date]],2)</f>
        <v>7</v>
      </c>
    </row>
    <row r="936" spans="1:14" x14ac:dyDescent="0.25">
      <c r="A936" t="s">
        <v>986</v>
      </c>
      <c r="B936" s="20">
        <v>45755</v>
      </c>
      <c r="C936" t="s">
        <v>45</v>
      </c>
      <c r="D936" t="s">
        <v>29</v>
      </c>
      <c r="E936" t="s">
        <v>83</v>
      </c>
      <c r="F936" t="s">
        <v>14</v>
      </c>
      <c r="G936">
        <v>1</v>
      </c>
      <c r="H936" s="1">
        <v>17.989999999999998</v>
      </c>
      <c r="I936" s="1">
        <v>17.989999999999998</v>
      </c>
      <c r="J936">
        <v>4</v>
      </c>
      <c r="K936" t="str">
        <f>TEXT(tbl_RawSales[[#This Row],[Order Date]],"mmm")</f>
        <v>Apr</v>
      </c>
      <c r="L936">
        <f>MONTH(tbl_RawSales[[#This Row],[Order Date]])</f>
        <v>4</v>
      </c>
      <c r="M936" t="str">
        <f>TEXT(tbl_RawSales[[#This Row],[Order Date]],"ddd")</f>
        <v>Tue</v>
      </c>
      <c r="N936">
        <f>WEEKDAY(tbl_RawSales[[#This Row],[Order Date]],2)</f>
        <v>2</v>
      </c>
    </row>
    <row r="937" spans="1:14" x14ac:dyDescent="0.25">
      <c r="A937" t="s">
        <v>987</v>
      </c>
      <c r="B937" s="20">
        <v>45696</v>
      </c>
      <c r="C937" t="s">
        <v>34</v>
      </c>
      <c r="D937" t="s">
        <v>29</v>
      </c>
      <c r="E937" t="s">
        <v>74</v>
      </c>
      <c r="F937" t="s">
        <v>14</v>
      </c>
      <c r="G937">
        <v>3</v>
      </c>
      <c r="H937" s="1">
        <v>14.99</v>
      </c>
      <c r="I937" s="1">
        <v>44.97</v>
      </c>
      <c r="J937">
        <v>1</v>
      </c>
      <c r="K937" t="str">
        <f>TEXT(tbl_RawSales[[#This Row],[Order Date]],"mmm")</f>
        <v>Feb</v>
      </c>
      <c r="L937">
        <f>MONTH(tbl_RawSales[[#This Row],[Order Date]])</f>
        <v>2</v>
      </c>
      <c r="M937" t="str">
        <f>TEXT(tbl_RawSales[[#This Row],[Order Date]],"ddd")</f>
        <v>Sat</v>
      </c>
      <c r="N937">
        <f>WEEKDAY(tbl_RawSales[[#This Row],[Order Date]],2)</f>
        <v>6</v>
      </c>
    </row>
    <row r="938" spans="1:14" x14ac:dyDescent="0.25">
      <c r="A938" t="s">
        <v>988</v>
      </c>
      <c r="B938" s="20">
        <v>45524</v>
      </c>
      <c r="C938" t="s">
        <v>11</v>
      </c>
      <c r="D938" t="s">
        <v>29</v>
      </c>
      <c r="E938" t="s">
        <v>18</v>
      </c>
      <c r="F938" t="s">
        <v>19</v>
      </c>
      <c r="G938">
        <v>3</v>
      </c>
      <c r="H938" s="1">
        <v>9.99</v>
      </c>
      <c r="I938" s="1">
        <v>29.97</v>
      </c>
      <c r="J938">
        <v>3</v>
      </c>
      <c r="K938" t="str">
        <f>TEXT(tbl_RawSales[[#This Row],[Order Date]],"mmm")</f>
        <v>Aug</v>
      </c>
      <c r="L938">
        <f>MONTH(tbl_RawSales[[#This Row],[Order Date]])</f>
        <v>8</v>
      </c>
      <c r="M938" t="str">
        <f>TEXT(tbl_RawSales[[#This Row],[Order Date]],"ddd")</f>
        <v>Tue</v>
      </c>
      <c r="N938">
        <f>WEEKDAY(tbl_RawSales[[#This Row],[Order Date]],2)</f>
        <v>2</v>
      </c>
    </row>
    <row r="939" spans="1:14" x14ac:dyDescent="0.25">
      <c r="A939" t="s">
        <v>989</v>
      </c>
      <c r="B939" s="20">
        <v>45678</v>
      </c>
      <c r="C939" t="s">
        <v>38</v>
      </c>
      <c r="D939" t="s">
        <v>29</v>
      </c>
      <c r="E939" t="s">
        <v>26</v>
      </c>
      <c r="F939" t="s">
        <v>19</v>
      </c>
      <c r="G939">
        <v>3</v>
      </c>
      <c r="H939" s="1">
        <v>3.49</v>
      </c>
      <c r="I939" s="1">
        <v>10.47</v>
      </c>
      <c r="J939">
        <v>4</v>
      </c>
      <c r="K939" t="str">
        <f>TEXT(tbl_RawSales[[#This Row],[Order Date]],"mmm")</f>
        <v>Jan</v>
      </c>
      <c r="L939">
        <f>MONTH(tbl_RawSales[[#This Row],[Order Date]])</f>
        <v>1</v>
      </c>
      <c r="M939" t="str">
        <f>TEXT(tbl_RawSales[[#This Row],[Order Date]],"ddd")</f>
        <v>Tue</v>
      </c>
      <c r="N939">
        <f>WEEKDAY(tbl_RawSales[[#This Row],[Order Date]],2)</f>
        <v>2</v>
      </c>
    </row>
    <row r="940" spans="1:14" x14ac:dyDescent="0.25">
      <c r="A940" t="s">
        <v>990</v>
      </c>
      <c r="B940" s="20">
        <v>45696</v>
      </c>
      <c r="C940" t="s">
        <v>25</v>
      </c>
      <c r="D940" t="s">
        <v>12</v>
      </c>
      <c r="E940" t="s">
        <v>83</v>
      </c>
      <c r="F940" t="s">
        <v>14</v>
      </c>
      <c r="G940">
        <v>1</v>
      </c>
      <c r="H940" s="1">
        <v>17.989999999999998</v>
      </c>
      <c r="I940" s="1">
        <v>17.989999999999998</v>
      </c>
      <c r="J940">
        <v>5</v>
      </c>
      <c r="K940" t="str">
        <f>TEXT(tbl_RawSales[[#This Row],[Order Date]],"mmm")</f>
        <v>Feb</v>
      </c>
      <c r="L940">
        <f>MONTH(tbl_RawSales[[#This Row],[Order Date]])</f>
        <v>2</v>
      </c>
      <c r="M940" t="str">
        <f>TEXT(tbl_RawSales[[#This Row],[Order Date]],"ddd")</f>
        <v>Sat</v>
      </c>
      <c r="N940">
        <f>WEEKDAY(tbl_RawSales[[#This Row],[Order Date]],2)</f>
        <v>6</v>
      </c>
    </row>
    <row r="941" spans="1:14" x14ac:dyDescent="0.25">
      <c r="A941" t="s">
        <v>991</v>
      </c>
      <c r="B941" s="20">
        <v>45319</v>
      </c>
      <c r="C941" t="s">
        <v>34</v>
      </c>
      <c r="D941" t="s">
        <v>17</v>
      </c>
      <c r="E941" t="s">
        <v>69</v>
      </c>
      <c r="F941" t="s">
        <v>67</v>
      </c>
      <c r="G941">
        <v>4</v>
      </c>
      <c r="H941" s="1">
        <v>8.99</v>
      </c>
      <c r="I941" s="1">
        <v>35.96</v>
      </c>
      <c r="J941">
        <v>5</v>
      </c>
      <c r="K941" t="str">
        <f>TEXT(tbl_RawSales[[#This Row],[Order Date]],"mmm")</f>
        <v>Jan</v>
      </c>
      <c r="L941">
        <f>MONTH(tbl_RawSales[[#This Row],[Order Date]])</f>
        <v>1</v>
      </c>
      <c r="M941" t="str">
        <f>TEXT(tbl_RawSales[[#This Row],[Order Date]],"ddd")</f>
        <v>Sun</v>
      </c>
      <c r="N941">
        <f>WEEKDAY(tbl_RawSales[[#This Row],[Order Date]],2)</f>
        <v>7</v>
      </c>
    </row>
    <row r="942" spans="1:14" x14ac:dyDescent="0.25">
      <c r="A942" t="s">
        <v>992</v>
      </c>
      <c r="B942" s="20">
        <v>45941</v>
      </c>
      <c r="C942" t="s">
        <v>11</v>
      </c>
      <c r="D942" t="s">
        <v>29</v>
      </c>
      <c r="E942" t="s">
        <v>83</v>
      </c>
      <c r="F942" t="s">
        <v>14</v>
      </c>
      <c r="G942">
        <v>2</v>
      </c>
      <c r="H942" s="1">
        <v>17.989999999999998</v>
      </c>
      <c r="I942" s="1">
        <v>35.979999999999997</v>
      </c>
      <c r="J942">
        <v>3</v>
      </c>
      <c r="K942" t="str">
        <f>TEXT(tbl_RawSales[[#This Row],[Order Date]],"mmm")</f>
        <v>Oct</v>
      </c>
      <c r="L942">
        <f>MONTH(tbl_RawSales[[#This Row],[Order Date]])</f>
        <v>10</v>
      </c>
      <c r="M942" t="str">
        <f>TEXT(tbl_RawSales[[#This Row],[Order Date]],"ddd")</f>
        <v>Sat</v>
      </c>
      <c r="N942">
        <f>WEEKDAY(tbl_RawSales[[#This Row],[Order Date]],2)</f>
        <v>6</v>
      </c>
    </row>
    <row r="943" spans="1:14" x14ac:dyDescent="0.25">
      <c r="A943" t="s">
        <v>993</v>
      </c>
      <c r="B943" s="20">
        <v>45400</v>
      </c>
      <c r="C943" t="s">
        <v>38</v>
      </c>
      <c r="D943" t="s">
        <v>17</v>
      </c>
      <c r="E943" t="s">
        <v>36</v>
      </c>
      <c r="F943" t="s">
        <v>14</v>
      </c>
      <c r="G943">
        <v>1</v>
      </c>
      <c r="H943" s="1">
        <v>16.989999999999998</v>
      </c>
      <c r="I943" s="1">
        <v>16.989999999999998</v>
      </c>
      <c r="J943">
        <v>4</v>
      </c>
      <c r="K943" t="str">
        <f>TEXT(tbl_RawSales[[#This Row],[Order Date]],"mmm")</f>
        <v>Apr</v>
      </c>
      <c r="L943">
        <f>MONTH(tbl_RawSales[[#This Row],[Order Date]])</f>
        <v>4</v>
      </c>
      <c r="M943" t="str">
        <f>TEXT(tbl_RawSales[[#This Row],[Order Date]],"ddd")</f>
        <v>Thu</v>
      </c>
      <c r="N943">
        <f>WEEKDAY(tbl_RawSales[[#This Row],[Order Date]],2)</f>
        <v>4</v>
      </c>
    </row>
    <row r="944" spans="1:14" x14ac:dyDescent="0.25">
      <c r="A944" t="s">
        <v>994</v>
      </c>
      <c r="B944" s="20">
        <v>45512</v>
      </c>
      <c r="C944" t="s">
        <v>25</v>
      </c>
      <c r="D944" t="s">
        <v>12</v>
      </c>
      <c r="E944" t="s">
        <v>36</v>
      </c>
      <c r="F944" t="s">
        <v>14</v>
      </c>
      <c r="G944">
        <v>1</v>
      </c>
      <c r="H944" s="1">
        <v>16.989999999999998</v>
      </c>
      <c r="I944" s="1">
        <v>16.989999999999998</v>
      </c>
      <c r="J944">
        <v>4</v>
      </c>
      <c r="K944" t="str">
        <f>TEXT(tbl_RawSales[[#This Row],[Order Date]],"mmm")</f>
        <v>Aug</v>
      </c>
      <c r="L944">
        <f>MONTH(tbl_RawSales[[#This Row],[Order Date]])</f>
        <v>8</v>
      </c>
      <c r="M944" t="str">
        <f>TEXT(tbl_RawSales[[#This Row],[Order Date]],"ddd")</f>
        <v>Thu</v>
      </c>
      <c r="N944">
        <f>WEEKDAY(tbl_RawSales[[#This Row],[Order Date]],2)</f>
        <v>4</v>
      </c>
    </row>
    <row r="945" spans="1:14" x14ac:dyDescent="0.25">
      <c r="A945" t="s">
        <v>995</v>
      </c>
      <c r="B945" s="20">
        <v>45697</v>
      </c>
      <c r="C945" t="s">
        <v>11</v>
      </c>
      <c r="D945" t="s">
        <v>17</v>
      </c>
      <c r="E945" t="s">
        <v>79</v>
      </c>
      <c r="F945" t="s">
        <v>67</v>
      </c>
      <c r="G945">
        <v>1</v>
      </c>
      <c r="H945" s="1">
        <v>10.99</v>
      </c>
      <c r="I945" s="1">
        <v>10.99</v>
      </c>
      <c r="J945">
        <v>5</v>
      </c>
      <c r="K945" t="str">
        <f>TEXT(tbl_RawSales[[#This Row],[Order Date]],"mmm")</f>
        <v>Feb</v>
      </c>
      <c r="L945">
        <f>MONTH(tbl_RawSales[[#This Row],[Order Date]])</f>
        <v>2</v>
      </c>
      <c r="M945" t="str">
        <f>TEXT(tbl_RawSales[[#This Row],[Order Date]],"ddd")</f>
        <v>Sun</v>
      </c>
      <c r="N945">
        <f>WEEKDAY(tbl_RawSales[[#This Row],[Order Date]],2)</f>
        <v>7</v>
      </c>
    </row>
    <row r="946" spans="1:14" x14ac:dyDescent="0.25">
      <c r="A946" t="s">
        <v>996</v>
      </c>
      <c r="B946" s="20">
        <v>45378</v>
      </c>
      <c r="C946" t="s">
        <v>21</v>
      </c>
      <c r="D946" t="s">
        <v>12</v>
      </c>
      <c r="E946" t="s">
        <v>57</v>
      </c>
      <c r="F946" t="s">
        <v>14</v>
      </c>
      <c r="G946">
        <v>1</v>
      </c>
      <c r="H946" s="1">
        <v>15.99</v>
      </c>
      <c r="I946" s="1">
        <v>15.99</v>
      </c>
      <c r="J946">
        <v>4</v>
      </c>
      <c r="K946" t="str">
        <f>TEXT(tbl_RawSales[[#This Row],[Order Date]],"mmm")</f>
        <v>Mar</v>
      </c>
      <c r="L946">
        <f>MONTH(tbl_RawSales[[#This Row],[Order Date]])</f>
        <v>3</v>
      </c>
      <c r="M946" t="str">
        <f>TEXT(tbl_RawSales[[#This Row],[Order Date]],"ddd")</f>
        <v>Wed</v>
      </c>
      <c r="N946">
        <f>WEEKDAY(tbl_RawSales[[#This Row],[Order Date]],2)</f>
        <v>3</v>
      </c>
    </row>
    <row r="947" spans="1:14" x14ac:dyDescent="0.25">
      <c r="A947" t="s">
        <v>997</v>
      </c>
      <c r="B947" s="20">
        <v>45907</v>
      </c>
      <c r="C947" t="s">
        <v>97</v>
      </c>
      <c r="D947" t="s">
        <v>17</v>
      </c>
      <c r="E947" t="s">
        <v>66</v>
      </c>
      <c r="F947" t="s">
        <v>67</v>
      </c>
      <c r="G947">
        <v>1</v>
      </c>
      <c r="H947" s="1">
        <v>7.99</v>
      </c>
      <c r="I947" s="1">
        <v>7.99</v>
      </c>
      <c r="J947">
        <v>5</v>
      </c>
      <c r="K947" t="str">
        <f>TEXT(tbl_RawSales[[#This Row],[Order Date]],"mmm")</f>
        <v>Sept</v>
      </c>
      <c r="L947">
        <f>MONTH(tbl_RawSales[[#This Row],[Order Date]])</f>
        <v>9</v>
      </c>
      <c r="M947" t="str">
        <f>TEXT(tbl_RawSales[[#This Row],[Order Date]],"ddd")</f>
        <v>Sun</v>
      </c>
      <c r="N947">
        <f>WEEKDAY(tbl_RawSales[[#This Row],[Order Date]],2)</f>
        <v>7</v>
      </c>
    </row>
    <row r="948" spans="1:14" x14ac:dyDescent="0.25">
      <c r="A948" t="s">
        <v>998</v>
      </c>
      <c r="B948" s="20">
        <v>45563</v>
      </c>
      <c r="C948" t="s">
        <v>16</v>
      </c>
      <c r="D948" t="s">
        <v>12</v>
      </c>
      <c r="E948" t="s">
        <v>46</v>
      </c>
      <c r="F948" t="s">
        <v>14</v>
      </c>
      <c r="G948">
        <v>2</v>
      </c>
      <c r="H948" s="1">
        <v>32.99</v>
      </c>
      <c r="I948" s="1">
        <v>65.98</v>
      </c>
      <c r="J948">
        <v>3</v>
      </c>
      <c r="K948" t="str">
        <f>TEXT(tbl_RawSales[[#This Row],[Order Date]],"mmm")</f>
        <v>Sept</v>
      </c>
      <c r="L948">
        <f>MONTH(tbl_RawSales[[#This Row],[Order Date]])</f>
        <v>9</v>
      </c>
      <c r="M948" t="str">
        <f>TEXT(tbl_RawSales[[#This Row],[Order Date]],"ddd")</f>
        <v>Sat</v>
      </c>
      <c r="N948">
        <f>WEEKDAY(tbl_RawSales[[#This Row],[Order Date]],2)</f>
        <v>6</v>
      </c>
    </row>
    <row r="949" spans="1:14" x14ac:dyDescent="0.25">
      <c r="A949" t="s">
        <v>999</v>
      </c>
      <c r="B949" s="20">
        <v>45864</v>
      </c>
      <c r="C949" t="s">
        <v>45</v>
      </c>
      <c r="D949" t="s">
        <v>17</v>
      </c>
      <c r="E949" t="s">
        <v>26</v>
      </c>
      <c r="F949" t="s">
        <v>19</v>
      </c>
      <c r="G949">
        <v>1</v>
      </c>
      <c r="H949" s="1">
        <v>3.49</v>
      </c>
      <c r="I949" s="1">
        <v>3.49</v>
      </c>
      <c r="J949">
        <v>5</v>
      </c>
      <c r="K949" t="str">
        <f>TEXT(tbl_RawSales[[#This Row],[Order Date]],"mmm")</f>
        <v>Jul</v>
      </c>
      <c r="L949">
        <f>MONTH(tbl_RawSales[[#This Row],[Order Date]])</f>
        <v>7</v>
      </c>
      <c r="M949" t="str">
        <f>TEXT(tbl_RawSales[[#This Row],[Order Date]],"ddd")</f>
        <v>Sat</v>
      </c>
      <c r="N949">
        <f>WEEKDAY(tbl_RawSales[[#This Row],[Order Date]],2)</f>
        <v>6</v>
      </c>
    </row>
    <row r="950" spans="1:14" x14ac:dyDescent="0.25">
      <c r="A950" t="s">
        <v>1000</v>
      </c>
      <c r="B950" s="20">
        <v>45711</v>
      </c>
      <c r="C950" t="s">
        <v>21</v>
      </c>
      <c r="D950" t="s">
        <v>12</v>
      </c>
      <c r="E950" t="s">
        <v>26</v>
      </c>
      <c r="F950" t="s">
        <v>19</v>
      </c>
      <c r="G950">
        <v>1</v>
      </c>
      <c r="H950" s="1">
        <v>3.49</v>
      </c>
      <c r="I950" s="1">
        <v>3.49</v>
      </c>
      <c r="J950">
        <v>4</v>
      </c>
      <c r="K950" t="str">
        <f>TEXT(tbl_RawSales[[#This Row],[Order Date]],"mmm")</f>
        <v>Feb</v>
      </c>
      <c r="L950">
        <f>MONTH(tbl_RawSales[[#This Row],[Order Date]])</f>
        <v>2</v>
      </c>
      <c r="M950" t="str">
        <f>TEXT(tbl_RawSales[[#This Row],[Order Date]],"ddd")</f>
        <v>Sun</v>
      </c>
      <c r="N950">
        <f>WEEKDAY(tbl_RawSales[[#This Row],[Order Date]],2)</f>
        <v>7</v>
      </c>
    </row>
    <row r="951" spans="1:14" x14ac:dyDescent="0.25">
      <c r="A951" t="s">
        <v>1001</v>
      </c>
      <c r="B951" s="20">
        <v>45934</v>
      </c>
      <c r="C951" t="s">
        <v>28</v>
      </c>
      <c r="D951" t="s">
        <v>12</v>
      </c>
      <c r="E951" t="s">
        <v>55</v>
      </c>
      <c r="F951" t="s">
        <v>23</v>
      </c>
      <c r="G951">
        <v>1</v>
      </c>
      <c r="H951" s="1">
        <v>10.99</v>
      </c>
      <c r="I951" s="1">
        <v>10.99</v>
      </c>
      <c r="J951">
        <v>4</v>
      </c>
      <c r="K951" t="str">
        <f>TEXT(tbl_RawSales[[#This Row],[Order Date]],"mmm")</f>
        <v>Oct</v>
      </c>
      <c r="L951">
        <f>MONTH(tbl_RawSales[[#This Row],[Order Date]])</f>
        <v>10</v>
      </c>
      <c r="M951" t="str">
        <f>TEXT(tbl_RawSales[[#This Row],[Order Date]],"ddd")</f>
        <v>Sat</v>
      </c>
      <c r="N951">
        <f>WEEKDAY(tbl_RawSales[[#This Row],[Order Date]],2)</f>
        <v>6</v>
      </c>
    </row>
    <row r="952" spans="1:14" x14ac:dyDescent="0.25">
      <c r="A952" t="s">
        <v>1002</v>
      </c>
      <c r="B952" s="20">
        <v>45922</v>
      </c>
      <c r="C952" t="s">
        <v>32</v>
      </c>
      <c r="D952" t="s">
        <v>29</v>
      </c>
      <c r="E952" t="s">
        <v>36</v>
      </c>
      <c r="F952" t="s">
        <v>14</v>
      </c>
      <c r="G952">
        <v>2</v>
      </c>
      <c r="H952" s="1">
        <v>16.989999999999998</v>
      </c>
      <c r="I952" s="1">
        <v>33.979999999999997</v>
      </c>
      <c r="J952">
        <v>4</v>
      </c>
      <c r="K952" t="str">
        <f>TEXT(tbl_RawSales[[#This Row],[Order Date]],"mmm")</f>
        <v>Sept</v>
      </c>
      <c r="L952">
        <f>MONTH(tbl_RawSales[[#This Row],[Order Date]])</f>
        <v>9</v>
      </c>
      <c r="M952" t="str">
        <f>TEXT(tbl_RawSales[[#This Row],[Order Date]],"ddd")</f>
        <v>Mon</v>
      </c>
      <c r="N952">
        <f>WEEKDAY(tbl_RawSales[[#This Row],[Order Date]],2)</f>
        <v>1</v>
      </c>
    </row>
    <row r="953" spans="1:14" x14ac:dyDescent="0.25">
      <c r="A953" t="s">
        <v>1003</v>
      </c>
      <c r="B953" s="20">
        <v>45491</v>
      </c>
      <c r="C953" t="s">
        <v>45</v>
      </c>
      <c r="D953" t="s">
        <v>29</v>
      </c>
      <c r="E953" t="s">
        <v>176</v>
      </c>
      <c r="F953" t="s">
        <v>67</v>
      </c>
      <c r="G953">
        <v>2</v>
      </c>
      <c r="H953" s="1">
        <v>11.99</v>
      </c>
      <c r="I953" s="1">
        <v>23.98</v>
      </c>
      <c r="J953">
        <v>3</v>
      </c>
      <c r="K953" t="str">
        <f>TEXT(tbl_RawSales[[#This Row],[Order Date]],"mmm")</f>
        <v>Jul</v>
      </c>
      <c r="L953">
        <f>MONTH(tbl_RawSales[[#This Row],[Order Date]])</f>
        <v>7</v>
      </c>
      <c r="M953" t="str">
        <f>TEXT(tbl_RawSales[[#This Row],[Order Date]],"ddd")</f>
        <v>Thu</v>
      </c>
      <c r="N953">
        <f>WEEKDAY(tbl_RawSales[[#This Row],[Order Date]],2)</f>
        <v>4</v>
      </c>
    </row>
    <row r="954" spans="1:14" x14ac:dyDescent="0.25">
      <c r="A954" t="s">
        <v>1004</v>
      </c>
      <c r="B954" s="20">
        <v>45840</v>
      </c>
      <c r="C954" t="s">
        <v>97</v>
      </c>
      <c r="D954" t="s">
        <v>17</v>
      </c>
      <c r="E954" t="s">
        <v>142</v>
      </c>
      <c r="F954" t="s">
        <v>23</v>
      </c>
      <c r="G954">
        <v>2</v>
      </c>
      <c r="H954" s="1">
        <v>14.99</v>
      </c>
      <c r="I954" s="1">
        <v>29.98</v>
      </c>
      <c r="J954">
        <v>3</v>
      </c>
      <c r="K954" t="str">
        <f>TEXT(tbl_RawSales[[#This Row],[Order Date]],"mmm")</f>
        <v>Jul</v>
      </c>
      <c r="L954">
        <f>MONTH(tbl_RawSales[[#This Row],[Order Date]])</f>
        <v>7</v>
      </c>
      <c r="M954" t="str">
        <f>TEXT(tbl_RawSales[[#This Row],[Order Date]],"ddd")</f>
        <v>Wed</v>
      </c>
      <c r="N954">
        <f>WEEKDAY(tbl_RawSales[[#This Row],[Order Date]],2)</f>
        <v>3</v>
      </c>
    </row>
    <row r="955" spans="1:14" x14ac:dyDescent="0.25">
      <c r="A955" t="s">
        <v>1005</v>
      </c>
      <c r="B955" s="20">
        <v>45460</v>
      </c>
      <c r="C955" t="s">
        <v>16</v>
      </c>
      <c r="D955" t="s">
        <v>29</v>
      </c>
      <c r="E955" t="s">
        <v>112</v>
      </c>
      <c r="F955" t="s">
        <v>19</v>
      </c>
      <c r="G955">
        <v>3</v>
      </c>
      <c r="H955" s="1">
        <v>5.99</v>
      </c>
      <c r="I955" s="1">
        <v>17.97</v>
      </c>
      <c r="J955">
        <v>4</v>
      </c>
      <c r="K955" t="str">
        <f>TEXT(tbl_RawSales[[#This Row],[Order Date]],"mmm")</f>
        <v>Jun</v>
      </c>
      <c r="L955">
        <f>MONTH(tbl_RawSales[[#This Row],[Order Date]])</f>
        <v>6</v>
      </c>
      <c r="M955" t="str">
        <f>TEXT(tbl_RawSales[[#This Row],[Order Date]],"ddd")</f>
        <v>Mon</v>
      </c>
      <c r="N955">
        <f>WEEKDAY(tbl_RawSales[[#This Row],[Order Date]],2)</f>
        <v>1</v>
      </c>
    </row>
    <row r="956" spans="1:14" x14ac:dyDescent="0.25">
      <c r="A956" t="s">
        <v>1006</v>
      </c>
      <c r="B956" s="20">
        <v>45914</v>
      </c>
      <c r="C956" t="s">
        <v>25</v>
      </c>
      <c r="D956" t="s">
        <v>29</v>
      </c>
      <c r="E956" t="s">
        <v>46</v>
      </c>
      <c r="F956" t="s">
        <v>14</v>
      </c>
      <c r="G956">
        <v>1</v>
      </c>
      <c r="H956" s="1">
        <v>32.99</v>
      </c>
      <c r="I956" s="1">
        <v>32.99</v>
      </c>
      <c r="J956">
        <v>5</v>
      </c>
      <c r="K956" t="str">
        <f>TEXT(tbl_RawSales[[#This Row],[Order Date]],"mmm")</f>
        <v>Sept</v>
      </c>
      <c r="L956">
        <f>MONTH(tbl_RawSales[[#This Row],[Order Date]])</f>
        <v>9</v>
      </c>
      <c r="M956" t="str">
        <f>TEXT(tbl_RawSales[[#This Row],[Order Date]],"ddd")</f>
        <v>Sun</v>
      </c>
      <c r="N956">
        <f>WEEKDAY(tbl_RawSales[[#This Row],[Order Date]],2)</f>
        <v>7</v>
      </c>
    </row>
    <row r="957" spans="1:14" x14ac:dyDescent="0.25">
      <c r="A957" t="s">
        <v>1007</v>
      </c>
      <c r="B957" s="20">
        <v>45955</v>
      </c>
      <c r="C957" t="s">
        <v>25</v>
      </c>
      <c r="D957" t="s">
        <v>12</v>
      </c>
      <c r="E957" t="s">
        <v>13</v>
      </c>
      <c r="F957" t="s">
        <v>14</v>
      </c>
      <c r="G957">
        <v>1</v>
      </c>
      <c r="H957" s="1">
        <v>18.989999999999998</v>
      </c>
      <c r="I957" s="1">
        <v>18.989999999999998</v>
      </c>
      <c r="J957">
        <v>5</v>
      </c>
      <c r="K957" t="str">
        <f>TEXT(tbl_RawSales[[#This Row],[Order Date]],"mmm")</f>
        <v>Oct</v>
      </c>
      <c r="L957">
        <f>MONTH(tbl_RawSales[[#This Row],[Order Date]])</f>
        <v>10</v>
      </c>
      <c r="M957" t="str">
        <f>TEXT(tbl_RawSales[[#This Row],[Order Date]],"ddd")</f>
        <v>Sat</v>
      </c>
      <c r="N957">
        <f>WEEKDAY(tbl_RawSales[[#This Row],[Order Date]],2)</f>
        <v>6</v>
      </c>
    </row>
    <row r="958" spans="1:14" x14ac:dyDescent="0.25">
      <c r="A958" t="s">
        <v>1008</v>
      </c>
      <c r="B958" s="20">
        <v>45870</v>
      </c>
      <c r="C958" t="s">
        <v>34</v>
      </c>
      <c r="D958" t="s">
        <v>29</v>
      </c>
      <c r="E958" t="s">
        <v>39</v>
      </c>
      <c r="F958" t="s">
        <v>14</v>
      </c>
      <c r="G958">
        <v>4</v>
      </c>
      <c r="H958" s="1">
        <v>24.99</v>
      </c>
      <c r="I958" s="1">
        <v>99.96</v>
      </c>
      <c r="J958">
        <v>3</v>
      </c>
      <c r="K958" t="str">
        <f>TEXT(tbl_RawSales[[#This Row],[Order Date]],"mmm")</f>
        <v>Aug</v>
      </c>
      <c r="L958">
        <f>MONTH(tbl_RawSales[[#This Row],[Order Date]])</f>
        <v>8</v>
      </c>
      <c r="M958" t="str">
        <f>TEXT(tbl_RawSales[[#This Row],[Order Date]],"ddd")</f>
        <v>Fri</v>
      </c>
      <c r="N958">
        <f>WEEKDAY(tbl_RawSales[[#This Row],[Order Date]],2)</f>
        <v>5</v>
      </c>
    </row>
    <row r="959" spans="1:14" x14ac:dyDescent="0.25">
      <c r="A959" t="s">
        <v>1009</v>
      </c>
      <c r="B959" s="20">
        <v>45540</v>
      </c>
      <c r="C959" t="s">
        <v>11</v>
      </c>
      <c r="D959" t="s">
        <v>29</v>
      </c>
      <c r="E959" t="s">
        <v>46</v>
      </c>
      <c r="F959" t="s">
        <v>14</v>
      </c>
      <c r="G959">
        <v>3</v>
      </c>
      <c r="H959" s="1">
        <v>32.99</v>
      </c>
      <c r="I959" s="1">
        <v>98.97</v>
      </c>
      <c r="J959">
        <v>4</v>
      </c>
      <c r="K959" t="str">
        <f>TEXT(tbl_RawSales[[#This Row],[Order Date]],"mmm")</f>
        <v>Sept</v>
      </c>
      <c r="L959">
        <f>MONTH(tbl_RawSales[[#This Row],[Order Date]])</f>
        <v>9</v>
      </c>
      <c r="M959" t="str">
        <f>TEXT(tbl_RawSales[[#This Row],[Order Date]],"ddd")</f>
        <v>Thu</v>
      </c>
      <c r="N959">
        <f>WEEKDAY(tbl_RawSales[[#This Row],[Order Date]],2)</f>
        <v>4</v>
      </c>
    </row>
    <row r="960" spans="1:14" x14ac:dyDescent="0.25">
      <c r="A960" t="s">
        <v>1010</v>
      </c>
      <c r="B960" s="20">
        <v>45628</v>
      </c>
      <c r="C960" t="s">
        <v>32</v>
      </c>
      <c r="D960" t="s">
        <v>12</v>
      </c>
      <c r="E960" t="s">
        <v>39</v>
      </c>
      <c r="F960" t="s">
        <v>14</v>
      </c>
      <c r="G960">
        <v>3</v>
      </c>
      <c r="H960" s="1">
        <v>24.99</v>
      </c>
      <c r="I960" s="1">
        <v>74.97</v>
      </c>
      <c r="J960">
        <v>4</v>
      </c>
      <c r="K960" t="str">
        <f>TEXT(tbl_RawSales[[#This Row],[Order Date]],"mmm")</f>
        <v>Dec</v>
      </c>
      <c r="L960">
        <f>MONTH(tbl_RawSales[[#This Row],[Order Date]])</f>
        <v>12</v>
      </c>
      <c r="M960" t="str">
        <f>TEXT(tbl_RawSales[[#This Row],[Order Date]],"ddd")</f>
        <v>Mon</v>
      </c>
      <c r="N960">
        <f>WEEKDAY(tbl_RawSales[[#This Row],[Order Date]],2)</f>
        <v>1</v>
      </c>
    </row>
    <row r="961" spans="1:14" x14ac:dyDescent="0.25">
      <c r="A961" t="s">
        <v>1011</v>
      </c>
      <c r="B961" s="20">
        <v>45807</v>
      </c>
      <c r="C961" t="s">
        <v>11</v>
      </c>
      <c r="D961" t="s">
        <v>17</v>
      </c>
      <c r="E961" t="s">
        <v>39</v>
      </c>
      <c r="F961" t="s">
        <v>14</v>
      </c>
      <c r="G961">
        <v>1</v>
      </c>
      <c r="H961" s="1">
        <v>24.99</v>
      </c>
      <c r="I961" s="1">
        <v>24.99</v>
      </c>
      <c r="J961">
        <v>4</v>
      </c>
      <c r="K961" t="str">
        <f>TEXT(tbl_RawSales[[#This Row],[Order Date]],"mmm")</f>
        <v>May</v>
      </c>
      <c r="L961">
        <f>MONTH(tbl_RawSales[[#This Row],[Order Date]])</f>
        <v>5</v>
      </c>
      <c r="M961" t="str">
        <f>TEXT(tbl_RawSales[[#This Row],[Order Date]],"ddd")</f>
        <v>Fri</v>
      </c>
      <c r="N961">
        <f>WEEKDAY(tbl_RawSales[[#This Row],[Order Date]],2)</f>
        <v>5</v>
      </c>
    </row>
    <row r="962" spans="1:14" x14ac:dyDescent="0.25">
      <c r="A962" t="s">
        <v>1012</v>
      </c>
      <c r="B962" s="20">
        <v>45402</v>
      </c>
      <c r="C962" t="s">
        <v>32</v>
      </c>
      <c r="D962" t="s">
        <v>17</v>
      </c>
      <c r="E962" t="s">
        <v>142</v>
      </c>
      <c r="F962" t="s">
        <v>23</v>
      </c>
      <c r="G962">
        <v>1</v>
      </c>
      <c r="H962" s="1">
        <v>14.99</v>
      </c>
      <c r="I962" s="1">
        <v>14.99</v>
      </c>
      <c r="J962">
        <v>3</v>
      </c>
      <c r="K962" t="str">
        <f>TEXT(tbl_RawSales[[#This Row],[Order Date]],"mmm")</f>
        <v>Apr</v>
      </c>
      <c r="L962">
        <f>MONTH(tbl_RawSales[[#This Row],[Order Date]])</f>
        <v>4</v>
      </c>
      <c r="M962" t="str">
        <f>TEXT(tbl_RawSales[[#This Row],[Order Date]],"ddd")</f>
        <v>Sat</v>
      </c>
      <c r="N962">
        <f>WEEKDAY(tbl_RawSales[[#This Row],[Order Date]],2)</f>
        <v>6</v>
      </c>
    </row>
    <row r="963" spans="1:14" x14ac:dyDescent="0.25">
      <c r="A963" t="s">
        <v>1013</v>
      </c>
      <c r="B963" s="20">
        <v>45617</v>
      </c>
      <c r="C963" t="s">
        <v>25</v>
      </c>
      <c r="D963" t="s">
        <v>29</v>
      </c>
      <c r="E963" t="s">
        <v>50</v>
      </c>
      <c r="F963" t="s">
        <v>14</v>
      </c>
      <c r="G963">
        <v>1</v>
      </c>
      <c r="H963" s="1">
        <v>22.99</v>
      </c>
      <c r="I963" s="1">
        <v>22.99</v>
      </c>
      <c r="J963">
        <v>5</v>
      </c>
      <c r="K963" t="str">
        <f>TEXT(tbl_RawSales[[#This Row],[Order Date]],"mmm")</f>
        <v>Nov</v>
      </c>
      <c r="L963">
        <f>MONTH(tbl_RawSales[[#This Row],[Order Date]])</f>
        <v>11</v>
      </c>
      <c r="M963" t="str">
        <f>TEXT(tbl_RawSales[[#This Row],[Order Date]],"ddd")</f>
        <v>Thu</v>
      </c>
      <c r="N963">
        <f>WEEKDAY(tbl_RawSales[[#This Row],[Order Date]],2)</f>
        <v>4</v>
      </c>
    </row>
    <row r="964" spans="1:14" x14ac:dyDescent="0.25">
      <c r="A964" t="s">
        <v>1014</v>
      </c>
      <c r="B964" s="20">
        <v>45717</v>
      </c>
      <c r="C964" t="s">
        <v>38</v>
      </c>
      <c r="D964" t="s">
        <v>17</v>
      </c>
      <c r="E964" t="s">
        <v>46</v>
      </c>
      <c r="F964" t="s">
        <v>14</v>
      </c>
      <c r="G964">
        <v>2</v>
      </c>
      <c r="H964" s="1">
        <v>32.99</v>
      </c>
      <c r="I964" s="1">
        <v>65.98</v>
      </c>
      <c r="J964">
        <v>3</v>
      </c>
      <c r="K964" t="str">
        <f>TEXT(tbl_RawSales[[#This Row],[Order Date]],"mmm")</f>
        <v>Mar</v>
      </c>
      <c r="L964">
        <f>MONTH(tbl_RawSales[[#This Row],[Order Date]])</f>
        <v>3</v>
      </c>
      <c r="M964" t="str">
        <f>TEXT(tbl_RawSales[[#This Row],[Order Date]],"ddd")</f>
        <v>Sat</v>
      </c>
      <c r="N964">
        <f>WEEKDAY(tbl_RawSales[[#This Row],[Order Date]],2)</f>
        <v>6</v>
      </c>
    </row>
    <row r="965" spans="1:14" x14ac:dyDescent="0.25">
      <c r="A965" t="s">
        <v>1015</v>
      </c>
      <c r="B965" s="20">
        <v>45928</v>
      </c>
      <c r="C965" t="s">
        <v>32</v>
      </c>
      <c r="D965" t="s">
        <v>12</v>
      </c>
      <c r="E965" t="s">
        <v>57</v>
      </c>
      <c r="F965" t="s">
        <v>14</v>
      </c>
      <c r="G965">
        <v>2</v>
      </c>
      <c r="H965" s="1">
        <v>15.99</v>
      </c>
      <c r="I965" s="1">
        <v>31.98</v>
      </c>
      <c r="J965">
        <v>4</v>
      </c>
      <c r="K965" t="str">
        <f>TEXT(tbl_RawSales[[#This Row],[Order Date]],"mmm")</f>
        <v>Sept</v>
      </c>
      <c r="L965">
        <f>MONTH(tbl_RawSales[[#This Row],[Order Date]])</f>
        <v>9</v>
      </c>
      <c r="M965" t="str">
        <f>TEXT(tbl_RawSales[[#This Row],[Order Date]],"ddd")</f>
        <v>Sun</v>
      </c>
      <c r="N965">
        <f>WEEKDAY(tbl_RawSales[[#This Row],[Order Date]],2)</f>
        <v>7</v>
      </c>
    </row>
    <row r="966" spans="1:14" x14ac:dyDescent="0.25">
      <c r="A966" t="s">
        <v>1016</v>
      </c>
      <c r="B966" s="20">
        <v>45966</v>
      </c>
      <c r="C966" t="s">
        <v>28</v>
      </c>
      <c r="D966" t="s">
        <v>12</v>
      </c>
      <c r="E966" t="s">
        <v>176</v>
      </c>
      <c r="F966" t="s">
        <v>67</v>
      </c>
      <c r="G966">
        <v>1</v>
      </c>
      <c r="H966" s="1">
        <v>11.99</v>
      </c>
      <c r="I966" s="1">
        <v>11.99</v>
      </c>
      <c r="J966">
        <v>4</v>
      </c>
      <c r="K966" t="str">
        <f>TEXT(tbl_RawSales[[#This Row],[Order Date]],"mmm")</f>
        <v>Nov</v>
      </c>
      <c r="L966">
        <f>MONTH(tbl_RawSales[[#This Row],[Order Date]])</f>
        <v>11</v>
      </c>
      <c r="M966" t="str">
        <f>TEXT(tbl_RawSales[[#This Row],[Order Date]],"ddd")</f>
        <v>Wed</v>
      </c>
      <c r="N966">
        <f>WEEKDAY(tbl_RawSales[[#This Row],[Order Date]],2)</f>
        <v>3</v>
      </c>
    </row>
    <row r="967" spans="1:14" x14ac:dyDescent="0.25">
      <c r="A967" t="s">
        <v>1017</v>
      </c>
      <c r="B967" s="20">
        <v>45388</v>
      </c>
      <c r="C967" t="s">
        <v>25</v>
      </c>
      <c r="D967" t="s">
        <v>12</v>
      </c>
      <c r="E967" t="s">
        <v>74</v>
      </c>
      <c r="F967" t="s">
        <v>14</v>
      </c>
      <c r="G967">
        <v>3</v>
      </c>
      <c r="H967" s="1">
        <v>14.99</v>
      </c>
      <c r="I967" s="1">
        <v>44.97</v>
      </c>
      <c r="J967">
        <v>4</v>
      </c>
      <c r="K967" t="str">
        <f>TEXT(tbl_RawSales[[#This Row],[Order Date]],"mmm")</f>
        <v>Apr</v>
      </c>
      <c r="L967">
        <f>MONTH(tbl_RawSales[[#This Row],[Order Date]])</f>
        <v>4</v>
      </c>
      <c r="M967" t="str">
        <f>TEXT(tbl_RawSales[[#This Row],[Order Date]],"ddd")</f>
        <v>Sat</v>
      </c>
      <c r="N967">
        <f>WEEKDAY(tbl_RawSales[[#This Row],[Order Date]],2)</f>
        <v>6</v>
      </c>
    </row>
    <row r="968" spans="1:14" x14ac:dyDescent="0.25">
      <c r="A968" t="s">
        <v>1018</v>
      </c>
      <c r="B968" s="20">
        <v>46012</v>
      </c>
      <c r="C968" t="s">
        <v>32</v>
      </c>
      <c r="D968" t="s">
        <v>29</v>
      </c>
      <c r="E968" t="s">
        <v>142</v>
      </c>
      <c r="F968" t="s">
        <v>23</v>
      </c>
      <c r="G968">
        <v>1</v>
      </c>
      <c r="H968" s="1">
        <v>14.99</v>
      </c>
      <c r="I968" s="1">
        <v>14.99</v>
      </c>
      <c r="J968">
        <v>3</v>
      </c>
      <c r="K968" t="str">
        <f>TEXT(tbl_RawSales[[#This Row],[Order Date]],"mmm")</f>
        <v>Dec</v>
      </c>
      <c r="L968">
        <f>MONTH(tbl_RawSales[[#This Row],[Order Date]])</f>
        <v>12</v>
      </c>
      <c r="M968" t="str">
        <f>TEXT(tbl_RawSales[[#This Row],[Order Date]],"ddd")</f>
        <v>Sun</v>
      </c>
      <c r="N968">
        <f>WEEKDAY(tbl_RawSales[[#This Row],[Order Date]],2)</f>
        <v>7</v>
      </c>
    </row>
    <row r="969" spans="1:14" x14ac:dyDescent="0.25">
      <c r="A969" t="s">
        <v>1019</v>
      </c>
      <c r="B969" s="20">
        <v>45942</v>
      </c>
      <c r="C969" t="s">
        <v>38</v>
      </c>
      <c r="D969" t="s">
        <v>17</v>
      </c>
      <c r="E969" t="s">
        <v>41</v>
      </c>
      <c r="F969" t="s">
        <v>23</v>
      </c>
      <c r="G969">
        <v>1</v>
      </c>
      <c r="H969" s="1">
        <v>12.99</v>
      </c>
      <c r="I969" s="1">
        <v>12.99</v>
      </c>
      <c r="J969">
        <v>4</v>
      </c>
      <c r="K969" t="str">
        <f>TEXT(tbl_RawSales[[#This Row],[Order Date]],"mmm")</f>
        <v>Oct</v>
      </c>
      <c r="L969">
        <f>MONTH(tbl_RawSales[[#This Row],[Order Date]])</f>
        <v>10</v>
      </c>
      <c r="M969" t="str">
        <f>TEXT(tbl_RawSales[[#This Row],[Order Date]],"ddd")</f>
        <v>Sun</v>
      </c>
      <c r="N969">
        <f>WEEKDAY(tbl_RawSales[[#This Row],[Order Date]],2)</f>
        <v>7</v>
      </c>
    </row>
    <row r="970" spans="1:14" x14ac:dyDescent="0.25">
      <c r="A970" t="s">
        <v>1020</v>
      </c>
      <c r="B970" s="20">
        <v>45480</v>
      </c>
      <c r="C970" t="s">
        <v>16</v>
      </c>
      <c r="D970" t="s">
        <v>29</v>
      </c>
      <c r="E970" t="s">
        <v>13</v>
      </c>
      <c r="F970" t="s">
        <v>14</v>
      </c>
      <c r="G970">
        <v>2</v>
      </c>
      <c r="H970" s="1">
        <v>18.989999999999998</v>
      </c>
      <c r="I970" s="1">
        <v>37.979999999999997</v>
      </c>
      <c r="J970">
        <v>5</v>
      </c>
      <c r="K970" t="str">
        <f>TEXT(tbl_RawSales[[#This Row],[Order Date]],"mmm")</f>
        <v>Jul</v>
      </c>
      <c r="L970">
        <f>MONTH(tbl_RawSales[[#This Row],[Order Date]])</f>
        <v>7</v>
      </c>
      <c r="M970" t="str">
        <f>TEXT(tbl_RawSales[[#This Row],[Order Date]],"ddd")</f>
        <v>Sun</v>
      </c>
      <c r="N970">
        <f>WEEKDAY(tbl_RawSales[[#This Row],[Order Date]],2)</f>
        <v>7</v>
      </c>
    </row>
    <row r="971" spans="1:14" x14ac:dyDescent="0.25">
      <c r="A971" t="s">
        <v>1021</v>
      </c>
      <c r="B971" s="20">
        <v>45695</v>
      </c>
      <c r="C971" t="s">
        <v>28</v>
      </c>
      <c r="D971" t="s">
        <v>29</v>
      </c>
      <c r="E971" t="s">
        <v>30</v>
      </c>
      <c r="F971" t="s">
        <v>19</v>
      </c>
      <c r="G971">
        <v>1</v>
      </c>
      <c r="H971" s="1">
        <v>7.99</v>
      </c>
      <c r="I971" s="1">
        <v>7.99</v>
      </c>
      <c r="J971">
        <v>5</v>
      </c>
      <c r="K971" t="str">
        <f>TEXT(tbl_RawSales[[#This Row],[Order Date]],"mmm")</f>
        <v>Feb</v>
      </c>
      <c r="L971">
        <f>MONTH(tbl_RawSales[[#This Row],[Order Date]])</f>
        <v>2</v>
      </c>
      <c r="M971" t="str">
        <f>TEXT(tbl_RawSales[[#This Row],[Order Date]],"ddd")</f>
        <v>Fri</v>
      </c>
      <c r="N971">
        <f>WEEKDAY(tbl_RawSales[[#This Row],[Order Date]],2)</f>
        <v>5</v>
      </c>
    </row>
    <row r="972" spans="1:14" x14ac:dyDescent="0.25">
      <c r="A972" t="s">
        <v>1022</v>
      </c>
      <c r="B972" s="20">
        <v>45773</v>
      </c>
      <c r="C972" t="s">
        <v>38</v>
      </c>
      <c r="D972" t="s">
        <v>17</v>
      </c>
      <c r="E972" t="s">
        <v>50</v>
      </c>
      <c r="F972" t="s">
        <v>14</v>
      </c>
      <c r="G972">
        <v>1</v>
      </c>
      <c r="H972" s="1">
        <v>22.99</v>
      </c>
      <c r="I972" s="1">
        <v>22.99</v>
      </c>
      <c r="J972">
        <v>5</v>
      </c>
      <c r="K972" t="str">
        <f>TEXT(tbl_RawSales[[#This Row],[Order Date]],"mmm")</f>
        <v>Apr</v>
      </c>
      <c r="L972">
        <f>MONTH(tbl_RawSales[[#This Row],[Order Date]])</f>
        <v>4</v>
      </c>
      <c r="M972" t="str">
        <f>TEXT(tbl_RawSales[[#This Row],[Order Date]],"ddd")</f>
        <v>Sat</v>
      </c>
      <c r="N972">
        <f>WEEKDAY(tbl_RawSales[[#This Row],[Order Date]],2)</f>
        <v>6</v>
      </c>
    </row>
    <row r="973" spans="1:14" x14ac:dyDescent="0.25">
      <c r="A973" t="s">
        <v>1023</v>
      </c>
      <c r="B973" s="20">
        <v>45681</v>
      </c>
      <c r="C973" t="s">
        <v>25</v>
      </c>
      <c r="D973" t="s">
        <v>17</v>
      </c>
      <c r="E973" t="s">
        <v>79</v>
      </c>
      <c r="F973" t="s">
        <v>67</v>
      </c>
      <c r="G973">
        <v>4</v>
      </c>
      <c r="H973" s="1">
        <v>10.99</v>
      </c>
      <c r="I973" s="1">
        <v>43.96</v>
      </c>
      <c r="J973">
        <v>4</v>
      </c>
      <c r="K973" t="str">
        <f>TEXT(tbl_RawSales[[#This Row],[Order Date]],"mmm")</f>
        <v>Jan</v>
      </c>
      <c r="L973">
        <f>MONTH(tbl_RawSales[[#This Row],[Order Date]])</f>
        <v>1</v>
      </c>
      <c r="M973" t="str">
        <f>TEXT(tbl_RawSales[[#This Row],[Order Date]],"ddd")</f>
        <v>Fri</v>
      </c>
      <c r="N973">
        <f>WEEKDAY(tbl_RawSales[[#This Row],[Order Date]],2)</f>
        <v>5</v>
      </c>
    </row>
    <row r="974" spans="1:14" x14ac:dyDescent="0.25">
      <c r="A974" t="s">
        <v>1024</v>
      </c>
      <c r="B974" s="20">
        <v>45594</v>
      </c>
      <c r="C974" t="s">
        <v>28</v>
      </c>
      <c r="D974" t="s">
        <v>29</v>
      </c>
      <c r="E974" t="s">
        <v>112</v>
      </c>
      <c r="F974" t="s">
        <v>19</v>
      </c>
      <c r="G974">
        <v>3</v>
      </c>
      <c r="H974" s="1">
        <v>5.99</v>
      </c>
      <c r="I974" s="1">
        <v>17.97</v>
      </c>
      <c r="J974">
        <v>5</v>
      </c>
      <c r="K974" t="str">
        <f>TEXT(tbl_RawSales[[#This Row],[Order Date]],"mmm")</f>
        <v>Oct</v>
      </c>
      <c r="L974">
        <f>MONTH(tbl_RawSales[[#This Row],[Order Date]])</f>
        <v>10</v>
      </c>
      <c r="M974" t="str">
        <f>TEXT(tbl_RawSales[[#This Row],[Order Date]],"ddd")</f>
        <v>Tue</v>
      </c>
      <c r="N974">
        <f>WEEKDAY(tbl_RawSales[[#This Row],[Order Date]],2)</f>
        <v>2</v>
      </c>
    </row>
    <row r="975" spans="1:14" x14ac:dyDescent="0.25">
      <c r="A975" t="s">
        <v>1025</v>
      </c>
      <c r="B975" s="20">
        <v>45914</v>
      </c>
      <c r="C975" t="s">
        <v>16</v>
      </c>
      <c r="D975" t="s">
        <v>12</v>
      </c>
      <c r="E975" t="s">
        <v>22</v>
      </c>
      <c r="F975" t="s">
        <v>23</v>
      </c>
      <c r="G975">
        <v>3</v>
      </c>
      <c r="H975" s="1">
        <v>8.99</v>
      </c>
      <c r="I975" s="1">
        <v>26.97</v>
      </c>
      <c r="J975">
        <v>3</v>
      </c>
      <c r="K975" t="str">
        <f>TEXT(tbl_RawSales[[#This Row],[Order Date]],"mmm")</f>
        <v>Sept</v>
      </c>
      <c r="L975">
        <f>MONTH(tbl_RawSales[[#This Row],[Order Date]])</f>
        <v>9</v>
      </c>
      <c r="M975" t="str">
        <f>TEXT(tbl_RawSales[[#This Row],[Order Date]],"ddd")</f>
        <v>Sun</v>
      </c>
      <c r="N975">
        <f>WEEKDAY(tbl_RawSales[[#This Row],[Order Date]],2)</f>
        <v>7</v>
      </c>
    </row>
    <row r="976" spans="1:14" x14ac:dyDescent="0.25">
      <c r="A976" t="s">
        <v>1026</v>
      </c>
      <c r="B976" s="20">
        <v>45779</v>
      </c>
      <c r="C976" t="s">
        <v>32</v>
      </c>
      <c r="D976" t="s">
        <v>29</v>
      </c>
      <c r="E976" t="s">
        <v>112</v>
      </c>
      <c r="F976" t="s">
        <v>19</v>
      </c>
      <c r="G976">
        <v>3</v>
      </c>
      <c r="H976" s="1">
        <v>5.99</v>
      </c>
      <c r="I976" s="1">
        <v>17.97</v>
      </c>
      <c r="J976">
        <v>5</v>
      </c>
      <c r="K976" t="str">
        <f>TEXT(tbl_RawSales[[#This Row],[Order Date]],"mmm")</f>
        <v>May</v>
      </c>
      <c r="L976">
        <f>MONTH(tbl_RawSales[[#This Row],[Order Date]])</f>
        <v>5</v>
      </c>
      <c r="M976" t="str">
        <f>TEXT(tbl_RawSales[[#This Row],[Order Date]],"ddd")</f>
        <v>Fri</v>
      </c>
      <c r="N976">
        <f>WEEKDAY(tbl_RawSales[[#This Row],[Order Date]],2)</f>
        <v>5</v>
      </c>
    </row>
    <row r="977" spans="1:14" x14ac:dyDescent="0.25">
      <c r="A977" t="s">
        <v>1027</v>
      </c>
      <c r="B977" s="20">
        <v>45372</v>
      </c>
      <c r="C977" t="s">
        <v>11</v>
      </c>
      <c r="D977" t="s">
        <v>29</v>
      </c>
      <c r="E977" t="s">
        <v>26</v>
      </c>
      <c r="F977" t="s">
        <v>19</v>
      </c>
      <c r="G977">
        <v>1</v>
      </c>
      <c r="H977" s="1">
        <v>3.49</v>
      </c>
      <c r="I977" s="1">
        <v>3.49</v>
      </c>
      <c r="J977">
        <v>3</v>
      </c>
      <c r="K977" t="str">
        <f>TEXT(tbl_RawSales[[#This Row],[Order Date]],"mmm")</f>
        <v>Mar</v>
      </c>
      <c r="L977">
        <f>MONTH(tbl_RawSales[[#This Row],[Order Date]])</f>
        <v>3</v>
      </c>
      <c r="M977" t="str">
        <f>TEXT(tbl_RawSales[[#This Row],[Order Date]],"ddd")</f>
        <v>Thu</v>
      </c>
      <c r="N977">
        <f>WEEKDAY(tbl_RawSales[[#This Row],[Order Date]],2)</f>
        <v>4</v>
      </c>
    </row>
    <row r="978" spans="1:14" x14ac:dyDescent="0.25">
      <c r="A978" t="s">
        <v>1028</v>
      </c>
      <c r="B978" s="20">
        <v>45982</v>
      </c>
      <c r="C978" t="s">
        <v>28</v>
      </c>
      <c r="D978" t="s">
        <v>29</v>
      </c>
      <c r="E978" t="s">
        <v>74</v>
      </c>
      <c r="F978" t="s">
        <v>14</v>
      </c>
      <c r="G978">
        <v>1</v>
      </c>
      <c r="H978" s="1">
        <v>14.99</v>
      </c>
      <c r="I978" s="1">
        <v>14.99</v>
      </c>
      <c r="J978">
        <v>5</v>
      </c>
      <c r="K978" t="str">
        <f>TEXT(tbl_RawSales[[#This Row],[Order Date]],"mmm")</f>
        <v>Nov</v>
      </c>
      <c r="L978">
        <f>MONTH(tbl_RawSales[[#This Row],[Order Date]])</f>
        <v>11</v>
      </c>
      <c r="M978" t="str">
        <f>TEXT(tbl_RawSales[[#This Row],[Order Date]],"ddd")</f>
        <v>Fri</v>
      </c>
      <c r="N978">
        <f>WEEKDAY(tbl_RawSales[[#This Row],[Order Date]],2)</f>
        <v>5</v>
      </c>
    </row>
    <row r="979" spans="1:14" x14ac:dyDescent="0.25">
      <c r="A979" t="s">
        <v>1029</v>
      </c>
      <c r="B979" s="20">
        <v>45651</v>
      </c>
      <c r="C979" t="s">
        <v>28</v>
      </c>
      <c r="D979" t="s">
        <v>29</v>
      </c>
      <c r="E979" t="s">
        <v>221</v>
      </c>
      <c r="F979" t="s">
        <v>67</v>
      </c>
      <c r="G979">
        <v>1</v>
      </c>
      <c r="H979" s="1">
        <v>9.99</v>
      </c>
      <c r="I979" s="1">
        <v>9.99</v>
      </c>
      <c r="J979">
        <v>3</v>
      </c>
      <c r="K979" t="str">
        <f>TEXT(tbl_RawSales[[#This Row],[Order Date]],"mmm")</f>
        <v>Dec</v>
      </c>
      <c r="L979">
        <f>MONTH(tbl_RawSales[[#This Row],[Order Date]])</f>
        <v>12</v>
      </c>
      <c r="M979" t="str">
        <f>TEXT(tbl_RawSales[[#This Row],[Order Date]],"ddd")</f>
        <v>Wed</v>
      </c>
      <c r="N979">
        <f>WEEKDAY(tbl_RawSales[[#This Row],[Order Date]],2)</f>
        <v>3</v>
      </c>
    </row>
    <row r="980" spans="1:14" x14ac:dyDescent="0.25">
      <c r="A980" t="s">
        <v>1030</v>
      </c>
      <c r="B980" s="20">
        <v>45750</v>
      </c>
      <c r="C980" t="s">
        <v>16</v>
      </c>
      <c r="D980" t="s">
        <v>12</v>
      </c>
      <c r="E980" t="s">
        <v>39</v>
      </c>
      <c r="F980" t="s">
        <v>14</v>
      </c>
      <c r="G980">
        <v>1</v>
      </c>
      <c r="H980" s="1">
        <v>24.99</v>
      </c>
      <c r="I980" s="1">
        <v>24.99</v>
      </c>
      <c r="J980">
        <v>1</v>
      </c>
      <c r="K980" t="str">
        <f>TEXT(tbl_RawSales[[#This Row],[Order Date]],"mmm")</f>
        <v>Apr</v>
      </c>
      <c r="L980">
        <f>MONTH(tbl_RawSales[[#This Row],[Order Date]])</f>
        <v>4</v>
      </c>
      <c r="M980" t="str">
        <f>TEXT(tbl_RawSales[[#This Row],[Order Date]],"ddd")</f>
        <v>Thu</v>
      </c>
      <c r="N980">
        <f>WEEKDAY(tbl_RawSales[[#This Row],[Order Date]],2)</f>
        <v>4</v>
      </c>
    </row>
    <row r="981" spans="1:14" x14ac:dyDescent="0.25">
      <c r="A981" t="s">
        <v>1031</v>
      </c>
      <c r="B981" s="20">
        <v>45572</v>
      </c>
      <c r="C981" t="s">
        <v>34</v>
      </c>
      <c r="D981" t="s">
        <v>29</v>
      </c>
      <c r="E981" t="s">
        <v>69</v>
      </c>
      <c r="F981" t="s">
        <v>67</v>
      </c>
      <c r="G981">
        <v>1</v>
      </c>
      <c r="H981" s="1">
        <v>8.99</v>
      </c>
      <c r="I981" s="1">
        <v>8.99</v>
      </c>
      <c r="J981">
        <v>2</v>
      </c>
      <c r="K981" t="str">
        <f>TEXT(tbl_RawSales[[#This Row],[Order Date]],"mmm")</f>
        <v>Oct</v>
      </c>
      <c r="L981">
        <f>MONTH(tbl_RawSales[[#This Row],[Order Date]])</f>
        <v>10</v>
      </c>
      <c r="M981" t="str">
        <f>TEXT(tbl_RawSales[[#This Row],[Order Date]],"ddd")</f>
        <v>Mon</v>
      </c>
      <c r="N981">
        <f>WEEKDAY(tbl_RawSales[[#This Row],[Order Date]],2)</f>
        <v>1</v>
      </c>
    </row>
    <row r="982" spans="1:14" x14ac:dyDescent="0.25">
      <c r="A982" t="s">
        <v>1032</v>
      </c>
      <c r="B982" s="20">
        <v>45836</v>
      </c>
      <c r="C982" t="s">
        <v>32</v>
      </c>
      <c r="D982" t="s">
        <v>12</v>
      </c>
      <c r="E982" t="s">
        <v>36</v>
      </c>
      <c r="F982" t="s">
        <v>14</v>
      </c>
      <c r="G982">
        <v>3</v>
      </c>
      <c r="H982" s="1">
        <v>16.989999999999998</v>
      </c>
      <c r="I982" s="1">
        <v>50.97</v>
      </c>
      <c r="J982">
        <v>5</v>
      </c>
      <c r="K982" t="str">
        <f>TEXT(tbl_RawSales[[#This Row],[Order Date]],"mmm")</f>
        <v>Jun</v>
      </c>
      <c r="L982">
        <f>MONTH(tbl_RawSales[[#This Row],[Order Date]])</f>
        <v>6</v>
      </c>
      <c r="M982" t="str">
        <f>TEXT(tbl_RawSales[[#This Row],[Order Date]],"ddd")</f>
        <v>Sat</v>
      </c>
      <c r="N982">
        <f>WEEKDAY(tbl_RawSales[[#This Row],[Order Date]],2)</f>
        <v>6</v>
      </c>
    </row>
    <row r="983" spans="1:14" x14ac:dyDescent="0.25">
      <c r="A983" t="s">
        <v>1033</v>
      </c>
      <c r="B983" s="20">
        <v>45753</v>
      </c>
      <c r="C983" t="s">
        <v>21</v>
      </c>
      <c r="D983" t="s">
        <v>12</v>
      </c>
      <c r="E983" t="s">
        <v>13</v>
      </c>
      <c r="F983" t="s">
        <v>14</v>
      </c>
      <c r="G983">
        <v>2</v>
      </c>
      <c r="H983" s="1">
        <v>18.989999999999998</v>
      </c>
      <c r="I983" s="1">
        <v>37.979999999999997</v>
      </c>
      <c r="J983">
        <v>1</v>
      </c>
      <c r="K983" t="str">
        <f>TEXT(tbl_RawSales[[#This Row],[Order Date]],"mmm")</f>
        <v>Apr</v>
      </c>
      <c r="L983">
        <f>MONTH(tbl_RawSales[[#This Row],[Order Date]])</f>
        <v>4</v>
      </c>
      <c r="M983" t="str">
        <f>TEXT(tbl_RawSales[[#This Row],[Order Date]],"ddd")</f>
        <v>Sun</v>
      </c>
      <c r="N983">
        <f>WEEKDAY(tbl_RawSales[[#This Row],[Order Date]],2)</f>
        <v>7</v>
      </c>
    </row>
    <row r="984" spans="1:14" x14ac:dyDescent="0.25">
      <c r="A984" t="s">
        <v>1034</v>
      </c>
      <c r="B984" s="20">
        <v>45961</v>
      </c>
      <c r="C984" t="s">
        <v>21</v>
      </c>
      <c r="D984" t="s">
        <v>12</v>
      </c>
      <c r="E984" t="s">
        <v>66</v>
      </c>
      <c r="F984" t="s">
        <v>67</v>
      </c>
      <c r="G984">
        <v>1</v>
      </c>
      <c r="H984" s="1">
        <v>7.99</v>
      </c>
      <c r="I984" s="1">
        <v>7.99</v>
      </c>
      <c r="J984">
        <v>4</v>
      </c>
      <c r="K984" t="str">
        <f>TEXT(tbl_RawSales[[#This Row],[Order Date]],"mmm")</f>
        <v>Oct</v>
      </c>
      <c r="L984">
        <f>MONTH(tbl_RawSales[[#This Row],[Order Date]])</f>
        <v>10</v>
      </c>
      <c r="M984" t="str">
        <f>TEXT(tbl_RawSales[[#This Row],[Order Date]],"ddd")</f>
        <v>Fri</v>
      </c>
      <c r="N984">
        <f>WEEKDAY(tbl_RawSales[[#This Row],[Order Date]],2)</f>
        <v>5</v>
      </c>
    </row>
    <row r="985" spans="1:14" x14ac:dyDescent="0.25">
      <c r="A985" t="s">
        <v>1035</v>
      </c>
      <c r="B985" s="20">
        <v>45526</v>
      </c>
      <c r="C985" t="s">
        <v>34</v>
      </c>
      <c r="D985" t="s">
        <v>29</v>
      </c>
      <c r="E985" t="s">
        <v>74</v>
      </c>
      <c r="F985" t="s">
        <v>14</v>
      </c>
      <c r="G985">
        <v>2</v>
      </c>
      <c r="H985" s="1">
        <v>14.99</v>
      </c>
      <c r="I985" s="1">
        <v>29.98</v>
      </c>
      <c r="J985">
        <v>5</v>
      </c>
      <c r="K985" t="str">
        <f>TEXT(tbl_RawSales[[#This Row],[Order Date]],"mmm")</f>
        <v>Aug</v>
      </c>
      <c r="L985">
        <f>MONTH(tbl_RawSales[[#This Row],[Order Date]])</f>
        <v>8</v>
      </c>
      <c r="M985" t="str">
        <f>TEXT(tbl_RawSales[[#This Row],[Order Date]],"ddd")</f>
        <v>Thu</v>
      </c>
      <c r="N985">
        <f>WEEKDAY(tbl_RawSales[[#This Row],[Order Date]],2)</f>
        <v>4</v>
      </c>
    </row>
    <row r="986" spans="1:14" x14ac:dyDescent="0.25">
      <c r="A986" t="s">
        <v>1036</v>
      </c>
      <c r="B986" s="20">
        <v>45668</v>
      </c>
      <c r="C986" t="s">
        <v>45</v>
      </c>
      <c r="D986" t="s">
        <v>29</v>
      </c>
      <c r="E986" t="s">
        <v>41</v>
      </c>
      <c r="F986" t="s">
        <v>23</v>
      </c>
      <c r="G986">
        <v>1</v>
      </c>
      <c r="H986" s="1">
        <v>12.99</v>
      </c>
      <c r="I986" s="1">
        <v>12.99</v>
      </c>
      <c r="J986">
        <v>3</v>
      </c>
      <c r="K986" t="str">
        <f>TEXT(tbl_RawSales[[#This Row],[Order Date]],"mmm")</f>
        <v>Jan</v>
      </c>
      <c r="L986">
        <f>MONTH(tbl_RawSales[[#This Row],[Order Date]])</f>
        <v>1</v>
      </c>
      <c r="M986" t="str">
        <f>TEXT(tbl_RawSales[[#This Row],[Order Date]],"ddd")</f>
        <v>Sat</v>
      </c>
      <c r="N986">
        <f>WEEKDAY(tbl_RawSales[[#This Row],[Order Date]],2)</f>
        <v>6</v>
      </c>
    </row>
    <row r="987" spans="1:14" x14ac:dyDescent="0.25">
      <c r="A987" t="s">
        <v>1037</v>
      </c>
      <c r="B987" s="20">
        <v>45352</v>
      </c>
      <c r="C987" t="s">
        <v>16</v>
      </c>
      <c r="D987" t="s">
        <v>29</v>
      </c>
      <c r="E987" t="s">
        <v>39</v>
      </c>
      <c r="F987" t="s">
        <v>14</v>
      </c>
      <c r="G987">
        <v>2</v>
      </c>
      <c r="H987" s="1">
        <v>24.99</v>
      </c>
      <c r="I987" s="1">
        <v>49.98</v>
      </c>
      <c r="J987">
        <v>5</v>
      </c>
      <c r="K987" t="str">
        <f>TEXT(tbl_RawSales[[#This Row],[Order Date]],"mmm")</f>
        <v>Mar</v>
      </c>
      <c r="L987">
        <f>MONTH(tbl_RawSales[[#This Row],[Order Date]])</f>
        <v>3</v>
      </c>
      <c r="M987" t="str">
        <f>TEXT(tbl_RawSales[[#This Row],[Order Date]],"ddd")</f>
        <v>Fri</v>
      </c>
      <c r="N987">
        <f>WEEKDAY(tbl_RawSales[[#This Row],[Order Date]],2)</f>
        <v>5</v>
      </c>
    </row>
    <row r="988" spans="1:14" x14ac:dyDescent="0.25">
      <c r="A988" t="s">
        <v>1038</v>
      </c>
      <c r="B988" s="20">
        <v>45999</v>
      </c>
      <c r="C988" t="s">
        <v>45</v>
      </c>
      <c r="D988" t="s">
        <v>17</v>
      </c>
      <c r="E988" t="s">
        <v>46</v>
      </c>
      <c r="F988" t="s">
        <v>14</v>
      </c>
      <c r="G988">
        <v>1</v>
      </c>
      <c r="H988" s="1">
        <v>32.99</v>
      </c>
      <c r="I988" s="1">
        <v>32.99</v>
      </c>
      <c r="J988">
        <v>5</v>
      </c>
      <c r="K988" t="str">
        <f>TEXT(tbl_RawSales[[#This Row],[Order Date]],"mmm")</f>
        <v>Dec</v>
      </c>
      <c r="L988">
        <f>MONTH(tbl_RawSales[[#This Row],[Order Date]])</f>
        <v>12</v>
      </c>
      <c r="M988" t="str">
        <f>TEXT(tbl_RawSales[[#This Row],[Order Date]],"ddd")</f>
        <v>Mon</v>
      </c>
      <c r="N988">
        <f>WEEKDAY(tbl_RawSales[[#This Row],[Order Date]],2)</f>
        <v>1</v>
      </c>
    </row>
    <row r="989" spans="1:14" x14ac:dyDescent="0.25">
      <c r="A989" t="s">
        <v>1039</v>
      </c>
      <c r="B989" s="20">
        <v>45458</v>
      </c>
      <c r="C989" t="s">
        <v>32</v>
      </c>
      <c r="D989" t="s">
        <v>29</v>
      </c>
      <c r="E989" t="s">
        <v>74</v>
      </c>
      <c r="F989" t="s">
        <v>14</v>
      </c>
      <c r="G989">
        <v>2</v>
      </c>
      <c r="H989" s="1">
        <v>14.99</v>
      </c>
      <c r="I989" s="1">
        <v>29.98</v>
      </c>
      <c r="J989">
        <v>5</v>
      </c>
      <c r="K989" t="str">
        <f>TEXT(tbl_RawSales[[#This Row],[Order Date]],"mmm")</f>
        <v>Jun</v>
      </c>
      <c r="L989">
        <f>MONTH(tbl_RawSales[[#This Row],[Order Date]])</f>
        <v>6</v>
      </c>
      <c r="M989" t="str">
        <f>TEXT(tbl_RawSales[[#This Row],[Order Date]],"ddd")</f>
        <v>Sat</v>
      </c>
      <c r="N989">
        <f>WEEKDAY(tbl_RawSales[[#This Row],[Order Date]],2)</f>
        <v>6</v>
      </c>
    </row>
    <row r="990" spans="1:14" x14ac:dyDescent="0.25">
      <c r="A990" t="s">
        <v>1040</v>
      </c>
      <c r="B990" s="20">
        <v>45423</v>
      </c>
      <c r="C990" t="s">
        <v>45</v>
      </c>
      <c r="D990" t="s">
        <v>12</v>
      </c>
      <c r="E990" t="s">
        <v>62</v>
      </c>
      <c r="F990" t="s">
        <v>23</v>
      </c>
      <c r="G990">
        <v>1</v>
      </c>
      <c r="H990" s="1">
        <v>9.99</v>
      </c>
      <c r="I990" s="1">
        <v>9.99</v>
      </c>
      <c r="J990">
        <v>4</v>
      </c>
      <c r="K990" t="str">
        <f>TEXT(tbl_RawSales[[#This Row],[Order Date]],"mmm")</f>
        <v>May</v>
      </c>
      <c r="L990">
        <f>MONTH(tbl_RawSales[[#This Row],[Order Date]])</f>
        <v>5</v>
      </c>
      <c r="M990" t="str">
        <f>TEXT(tbl_RawSales[[#This Row],[Order Date]],"ddd")</f>
        <v>Sat</v>
      </c>
      <c r="N990">
        <f>WEEKDAY(tbl_RawSales[[#This Row],[Order Date]],2)</f>
        <v>6</v>
      </c>
    </row>
    <row r="991" spans="1:14" x14ac:dyDescent="0.25">
      <c r="A991" t="s">
        <v>1041</v>
      </c>
      <c r="B991" s="20">
        <v>45962</v>
      </c>
      <c r="C991" t="s">
        <v>28</v>
      </c>
      <c r="D991" t="s">
        <v>12</v>
      </c>
      <c r="E991" t="s">
        <v>221</v>
      </c>
      <c r="F991" t="s">
        <v>67</v>
      </c>
      <c r="G991">
        <v>1</v>
      </c>
      <c r="H991" s="1">
        <v>9.99</v>
      </c>
      <c r="I991" s="1">
        <v>9.99</v>
      </c>
      <c r="J991">
        <v>3</v>
      </c>
      <c r="K991" t="str">
        <f>TEXT(tbl_RawSales[[#This Row],[Order Date]],"mmm")</f>
        <v>Nov</v>
      </c>
      <c r="L991">
        <f>MONTH(tbl_RawSales[[#This Row],[Order Date]])</f>
        <v>11</v>
      </c>
      <c r="M991" t="str">
        <f>TEXT(tbl_RawSales[[#This Row],[Order Date]],"ddd")</f>
        <v>Sat</v>
      </c>
      <c r="N991">
        <f>WEEKDAY(tbl_RawSales[[#This Row],[Order Date]],2)</f>
        <v>6</v>
      </c>
    </row>
    <row r="992" spans="1:14" x14ac:dyDescent="0.25">
      <c r="A992" t="s">
        <v>1042</v>
      </c>
      <c r="B992" s="20">
        <v>45899</v>
      </c>
      <c r="C992" t="s">
        <v>32</v>
      </c>
      <c r="D992" t="s">
        <v>29</v>
      </c>
      <c r="E992" t="s">
        <v>36</v>
      </c>
      <c r="F992" t="s">
        <v>14</v>
      </c>
      <c r="G992">
        <v>2</v>
      </c>
      <c r="H992" s="1">
        <v>16.989999999999998</v>
      </c>
      <c r="I992" s="1">
        <v>33.979999999999997</v>
      </c>
      <c r="J992">
        <v>5</v>
      </c>
      <c r="K992" t="str">
        <f>TEXT(tbl_RawSales[[#This Row],[Order Date]],"mmm")</f>
        <v>Aug</v>
      </c>
      <c r="L992">
        <f>MONTH(tbl_RawSales[[#This Row],[Order Date]])</f>
        <v>8</v>
      </c>
      <c r="M992" t="str">
        <f>TEXT(tbl_RawSales[[#This Row],[Order Date]],"ddd")</f>
        <v>Sat</v>
      </c>
      <c r="N992">
        <f>WEEKDAY(tbl_RawSales[[#This Row],[Order Date]],2)</f>
        <v>6</v>
      </c>
    </row>
    <row r="993" spans="1:14" x14ac:dyDescent="0.25">
      <c r="A993" t="s">
        <v>1043</v>
      </c>
      <c r="B993" s="20">
        <v>45845</v>
      </c>
      <c r="C993" t="s">
        <v>21</v>
      </c>
      <c r="D993" t="s">
        <v>17</v>
      </c>
      <c r="E993" t="s">
        <v>57</v>
      </c>
      <c r="F993" t="s">
        <v>14</v>
      </c>
      <c r="G993">
        <v>3</v>
      </c>
      <c r="H993" s="1">
        <v>15.99</v>
      </c>
      <c r="I993" s="1">
        <v>47.97</v>
      </c>
      <c r="J993">
        <v>4</v>
      </c>
      <c r="K993" t="str">
        <f>TEXT(tbl_RawSales[[#This Row],[Order Date]],"mmm")</f>
        <v>Jul</v>
      </c>
      <c r="L993">
        <f>MONTH(tbl_RawSales[[#This Row],[Order Date]])</f>
        <v>7</v>
      </c>
      <c r="M993" t="str">
        <f>TEXT(tbl_RawSales[[#This Row],[Order Date]],"ddd")</f>
        <v>Mon</v>
      </c>
      <c r="N993">
        <f>WEEKDAY(tbl_RawSales[[#This Row],[Order Date]],2)</f>
        <v>1</v>
      </c>
    </row>
    <row r="994" spans="1:14" x14ac:dyDescent="0.25">
      <c r="A994" t="s">
        <v>1044</v>
      </c>
      <c r="B994" s="20">
        <v>45481</v>
      </c>
      <c r="C994" t="s">
        <v>28</v>
      </c>
      <c r="D994" t="s">
        <v>29</v>
      </c>
      <c r="E994" t="s">
        <v>57</v>
      </c>
      <c r="F994" t="s">
        <v>14</v>
      </c>
      <c r="G994">
        <v>2</v>
      </c>
      <c r="H994" s="1">
        <v>15.99</v>
      </c>
      <c r="I994" s="1">
        <v>31.98</v>
      </c>
      <c r="J994">
        <v>2</v>
      </c>
      <c r="K994" t="str">
        <f>TEXT(tbl_RawSales[[#This Row],[Order Date]],"mmm")</f>
        <v>Jul</v>
      </c>
      <c r="L994">
        <f>MONTH(tbl_RawSales[[#This Row],[Order Date]])</f>
        <v>7</v>
      </c>
      <c r="M994" t="str">
        <f>TEXT(tbl_RawSales[[#This Row],[Order Date]],"ddd")</f>
        <v>Mon</v>
      </c>
      <c r="N994">
        <f>WEEKDAY(tbl_RawSales[[#This Row],[Order Date]],2)</f>
        <v>1</v>
      </c>
    </row>
    <row r="995" spans="1:14" x14ac:dyDescent="0.25">
      <c r="A995" t="s">
        <v>1045</v>
      </c>
      <c r="B995" s="20">
        <v>45347</v>
      </c>
      <c r="C995" t="s">
        <v>32</v>
      </c>
      <c r="D995" t="s">
        <v>17</v>
      </c>
      <c r="E995" t="s">
        <v>57</v>
      </c>
      <c r="F995" t="s">
        <v>14</v>
      </c>
      <c r="G995">
        <v>1</v>
      </c>
      <c r="H995" s="1">
        <v>15.99</v>
      </c>
      <c r="I995" s="1">
        <v>15.99</v>
      </c>
      <c r="J995">
        <v>5</v>
      </c>
      <c r="K995" t="str">
        <f>TEXT(tbl_RawSales[[#This Row],[Order Date]],"mmm")</f>
        <v>Feb</v>
      </c>
      <c r="L995">
        <f>MONTH(tbl_RawSales[[#This Row],[Order Date]])</f>
        <v>2</v>
      </c>
      <c r="M995" t="str">
        <f>TEXT(tbl_RawSales[[#This Row],[Order Date]],"ddd")</f>
        <v>Sun</v>
      </c>
      <c r="N995">
        <f>WEEKDAY(tbl_RawSales[[#This Row],[Order Date]],2)</f>
        <v>7</v>
      </c>
    </row>
    <row r="996" spans="1:14" x14ac:dyDescent="0.25">
      <c r="A996" t="s">
        <v>1046</v>
      </c>
      <c r="B996" s="20">
        <v>46003</v>
      </c>
      <c r="C996" t="s">
        <v>34</v>
      </c>
      <c r="D996" t="s">
        <v>29</v>
      </c>
      <c r="E996" t="s">
        <v>13</v>
      </c>
      <c r="F996" t="s">
        <v>14</v>
      </c>
      <c r="G996">
        <v>1</v>
      </c>
      <c r="H996" s="1">
        <v>18.989999999999998</v>
      </c>
      <c r="I996" s="1">
        <v>18.989999999999998</v>
      </c>
      <c r="J996">
        <v>4</v>
      </c>
      <c r="K996" t="str">
        <f>TEXT(tbl_RawSales[[#This Row],[Order Date]],"mmm")</f>
        <v>Dec</v>
      </c>
      <c r="L996">
        <f>MONTH(tbl_RawSales[[#This Row],[Order Date]])</f>
        <v>12</v>
      </c>
      <c r="M996" t="str">
        <f>TEXT(tbl_RawSales[[#This Row],[Order Date]],"ddd")</f>
        <v>Fri</v>
      </c>
      <c r="N996">
        <f>WEEKDAY(tbl_RawSales[[#This Row],[Order Date]],2)</f>
        <v>5</v>
      </c>
    </row>
    <row r="997" spans="1:14" x14ac:dyDescent="0.25">
      <c r="A997" t="s">
        <v>1047</v>
      </c>
      <c r="B997" s="20">
        <v>45418</v>
      </c>
      <c r="C997" t="s">
        <v>11</v>
      </c>
      <c r="D997" t="s">
        <v>29</v>
      </c>
      <c r="E997" t="s">
        <v>221</v>
      </c>
      <c r="F997" t="s">
        <v>67</v>
      </c>
      <c r="G997">
        <v>3</v>
      </c>
      <c r="H997" s="1">
        <v>9.99</v>
      </c>
      <c r="I997" s="1">
        <v>29.97</v>
      </c>
      <c r="J997">
        <v>3</v>
      </c>
      <c r="K997" t="str">
        <f>TEXT(tbl_RawSales[[#This Row],[Order Date]],"mmm")</f>
        <v>May</v>
      </c>
      <c r="L997">
        <f>MONTH(tbl_RawSales[[#This Row],[Order Date]])</f>
        <v>5</v>
      </c>
      <c r="M997" t="str">
        <f>TEXT(tbl_RawSales[[#This Row],[Order Date]],"ddd")</f>
        <v>Mon</v>
      </c>
      <c r="N997">
        <f>WEEKDAY(tbl_RawSales[[#This Row],[Order Date]],2)</f>
        <v>1</v>
      </c>
    </row>
    <row r="998" spans="1:14" x14ac:dyDescent="0.25">
      <c r="A998" t="s">
        <v>1048</v>
      </c>
      <c r="B998" s="20">
        <v>45379</v>
      </c>
      <c r="C998" t="s">
        <v>11</v>
      </c>
      <c r="D998" t="s">
        <v>17</v>
      </c>
      <c r="E998" t="s">
        <v>57</v>
      </c>
      <c r="F998" t="s">
        <v>14</v>
      </c>
      <c r="G998">
        <v>1</v>
      </c>
      <c r="H998" s="1">
        <v>15.99</v>
      </c>
      <c r="I998" s="1">
        <v>15.99</v>
      </c>
      <c r="J998">
        <v>3</v>
      </c>
      <c r="K998" t="str">
        <f>TEXT(tbl_RawSales[[#This Row],[Order Date]],"mmm")</f>
        <v>Mar</v>
      </c>
      <c r="L998">
        <f>MONTH(tbl_RawSales[[#This Row],[Order Date]])</f>
        <v>3</v>
      </c>
      <c r="M998" t="str">
        <f>TEXT(tbl_RawSales[[#This Row],[Order Date]],"ddd")</f>
        <v>Thu</v>
      </c>
      <c r="N998">
        <f>WEEKDAY(tbl_RawSales[[#This Row],[Order Date]],2)</f>
        <v>4</v>
      </c>
    </row>
    <row r="999" spans="1:14" x14ac:dyDescent="0.25">
      <c r="A999" t="s">
        <v>1049</v>
      </c>
      <c r="B999" s="20">
        <v>45620</v>
      </c>
      <c r="C999" t="s">
        <v>11</v>
      </c>
      <c r="D999" t="s">
        <v>17</v>
      </c>
      <c r="E999" t="s">
        <v>13</v>
      </c>
      <c r="F999" t="s">
        <v>14</v>
      </c>
      <c r="G999">
        <v>1</v>
      </c>
      <c r="H999" s="1">
        <v>18.989999999999998</v>
      </c>
      <c r="I999" s="1">
        <v>18.989999999999998</v>
      </c>
      <c r="J999">
        <v>5</v>
      </c>
      <c r="K999" t="str">
        <f>TEXT(tbl_RawSales[[#This Row],[Order Date]],"mmm")</f>
        <v>Nov</v>
      </c>
      <c r="L999">
        <f>MONTH(tbl_RawSales[[#This Row],[Order Date]])</f>
        <v>11</v>
      </c>
      <c r="M999" t="str">
        <f>TEXT(tbl_RawSales[[#This Row],[Order Date]],"ddd")</f>
        <v>Sun</v>
      </c>
      <c r="N999">
        <f>WEEKDAY(tbl_RawSales[[#This Row],[Order Date]],2)</f>
        <v>7</v>
      </c>
    </row>
    <row r="1000" spans="1:14" x14ac:dyDescent="0.25">
      <c r="A1000" t="s">
        <v>1050</v>
      </c>
      <c r="B1000" s="20">
        <v>45893</v>
      </c>
      <c r="C1000" t="s">
        <v>21</v>
      </c>
      <c r="D1000" t="s">
        <v>29</v>
      </c>
      <c r="E1000" t="s">
        <v>69</v>
      </c>
      <c r="F1000" t="s">
        <v>67</v>
      </c>
      <c r="G1000">
        <v>2</v>
      </c>
      <c r="H1000" s="1">
        <v>8.99</v>
      </c>
      <c r="I1000" s="1">
        <v>17.98</v>
      </c>
      <c r="J1000">
        <v>5</v>
      </c>
      <c r="K1000" t="str">
        <f>TEXT(tbl_RawSales[[#This Row],[Order Date]],"mmm")</f>
        <v>Aug</v>
      </c>
      <c r="L1000">
        <f>MONTH(tbl_RawSales[[#This Row],[Order Date]])</f>
        <v>8</v>
      </c>
      <c r="M1000" t="str">
        <f>TEXT(tbl_RawSales[[#This Row],[Order Date]],"ddd")</f>
        <v>Sun</v>
      </c>
      <c r="N1000">
        <f>WEEKDAY(tbl_RawSales[[#This Row],[Order Date]],2)</f>
        <v>7</v>
      </c>
    </row>
    <row r="1001" spans="1:14" x14ac:dyDescent="0.25">
      <c r="A1001" t="s">
        <v>1051</v>
      </c>
      <c r="B1001" s="20">
        <v>45771</v>
      </c>
      <c r="C1001" t="s">
        <v>25</v>
      </c>
      <c r="D1001" t="s">
        <v>29</v>
      </c>
      <c r="E1001" t="s">
        <v>46</v>
      </c>
      <c r="F1001" t="s">
        <v>14</v>
      </c>
      <c r="G1001">
        <v>1</v>
      </c>
      <c r="H1001" s="1">
        <v>32.99</v>
      </c>
      <c r="I1001" s="1">
        <v>32.99</v>
      </c>
      <c r="J1001">
        <v>4</v>
      </c>
      <c r="K1001" t="str">
        <f>TEXT(tbl_RawSales[[#This Row],[Order Date]],"mmm")</f>
        <v>Apr</v>
      </c>
      <c r="L1001">
        <f>MONTH(tbl_RawSales[[#This Row],[Order Date]])</f>
        <v>4</v>
      </c>
      <c r="M1001" t="str">
        <f>TEXT(tbl_RawSales[[#This Row],[Order Date]],"ddd")</f>
        <v>Thu</v>
      </c>
      <c r="N1001">
        <f>WEEKDAY(tbl_RawSales[[#This Row],[Order Date]],2)</f>
        <v>4</v>
      </c>
    </row>
  </sheetData>
  <mergeCells count="1">
    <mergeCell ref="R6:S6"/>
  </mergeCells>
  <conditionalFormatting sqref="A1:A1048576">
    <cfRule type="duplicateValues" dxfId="0" priority="1"/>
    <cfRule type="colorScale" priority="2">
      <colorScale>
        <cfvo type="min"/>
        <cfvo type="max"/>
        <color rgb="FFFF7128"/>
        <color rgb="FFFFEF9C"/>
      </colorScale>
    </cfRule>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Dashboard</vt:lpstr>
      <vt:lpstr>Analysis_WorkingData</vt:lpstr>
      <vt:lpstr>Restaurant Sales-Raw_Data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Lithemba Jan</cp:lastModifiedBy>
  <dcterms:created xsi:type="dcterms:W3CDTF">2026-03-11T02:30:28Z</dcterms:created>
  <dcterms:modified xsi:type="dcterms:W3CDTF">2026-10-02T17:59:54Z</dcterms:modified>
</cp:coreProperties>
</file>